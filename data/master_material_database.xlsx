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9.xml.rels" ContentType="application/vnd.openxmlformats-package.relationships+xml"/>
  <Override PartName="/xl/worksheets/_rels/sheet20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Material_Master" sheetId="2" state="visible" r:id="rId4"/>
    <sheet name="Work_Items" sheetId="3" state="visible" r:id="rId5"/>
    <sheet name="Recipes" sheetId="4" state="visible" r:id="rId6"/>
    <sheet name="Coefficients" sheetId="5" state="visible" r:id="rId7"/>
    <sheet name="Mix_Design" sheetId="6" state="visible" r:id="rId8"/>
    <sheet name="Wastage_Factors" sheetId="7" state="visible" r:id="rId9"/>
    <sheet name="Input_Dictionary" sheetId="8" state="visible" r:id="rId10"/>
    <sheet name="Element_Library" sheetId="9" state="visible" r:id="rId11"/>
    <sheet name="Room_Finish_Defaults" sheetId="10" state="visible" r:id="rId12"/>
    <sheet name="Scope_Map" sheetId="11" state="visible" r:id="rId13"/>
    <sheet name="Stages" sheetId="12" state="visible" r:id="rId14"/>
    <sheet name="Calc_Methods" sheetId="13" state="visible" r:id="rId15"/>
    <sheet name="Units" sheetId="14" state="visible" r:id="rId16"/>
    <sheet name="Drawing_Checklist" sheetId="15" state="visible" r:id="rId17"/>
    <sheet name="Sample_Project_Extract" sheetId="16" state="visible" r:id="rId18"/>
    <sheet name="Formula_Demo" sheetId="17" state="visible" r:id="rId19"/>
    <sheet name="Validation_Benchmarks" sheetId="18" state="visible" r:id="rId20"/>
    <sheet name="Gaps_Overlooked" sheetId="19" state="visible" r:id="rId21"/>
    <sheet name="Rate_Template" sheetId="20" state="visible" r:id="rId22"/>
    <sheet name="Sources" sheetId="21" state="visible" r:id="rId23"/>
  </sheets>
  <definedNames>
    <definedName function="false" hidden="true" localSheetId="4" name="_xlnm._FilterDatabase" vbProcedure="false">Coefficients!$A$1:$G$239</definedName>
    <definedName function="false" hidden="true" localSheetId="8" name="_xlnm._FilterDatabase" vbProcedure="false">Element_Library!$A$1:$I$47</definedName>
    <definedName function="false" hidden="true" localSheetId="18" name="_xlnm._FilterDatabase" vbProcedure="false">Gaps_Overlooked!$A$1:$F$23</definedName>
    <definedName function="false" hidden="true" localSheetId="7" name="_xlnm._FilterDatabase" vbProcedure="false">Input_Dictionary!$A$1:$J$70</definedName>
    <definedName function="false" hidden="true" localSheetId="1" name="_xlnm._FilterDatabase" vbProcedure="false">Material_Master!$A$1:$V$310</definedName>
    <definedName function="false" hidden="true" localSheetId="5" name="_xlnm._FilterDatabase" vbProcedure="false">Mix_Design!$A$1:$Q$10</definedName>
    <definedName function="false" hidden="true" localSheetId="19" name="_xlnm._FilterDatabase" vbProcedure="false">Rate_Template!$A$1:$I$310</definedName>
    <definedName function="false" hidden="true" localSheetId="3" name="_xlnm._FilterDatabase" vbProcedure="false">Recipes!$A$1:$L$309</definedName>
    <definedName function="false" hidden="true" localSheetId="9" name="_xlnm._FilterDatabase" vbProcedure="false">Room_Finish_Defaults!$A$1:$W$14</definedName>
    <definedName function="false" hidden="true" localSheetId="11" name="_xlnm._FilterDatabase" vbProcedure="false">Stages!$A$1:$D$11</definedName>
    <definedName function="false" hidden="true" localSheetId="6" name="_xlnm._FilterDatabase" vbProcedure="false">Wastage_Factors!$A$1:$G$33</definedName>
    <definedName function="false" hidden="true" localSheetId="2" name="_xlnm._FilterDatabase" vbProcedure="false">Work_Items!$A$1:$L$102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<sst xmlns="http://schemas.openxmlformats.org/spreadsheetml/2006/main" count="12380" uniqueCount="4826">
  <si>
    <t xml:space="preserve">PK Residential Master Material Database - v1.0</t>
  </si>
  <si>
    <t xml:space="preserve">Purpose</t>
  </si>
  <si>
    <t xml:space="preserve">Knowledge base for automatic MTO/BOQ generation of 5-10 marla houses (Islamabad/Rawalpindi). It stores HOW to calculate quantities (work items, measurement rules, coefficients, mixes, wastage) - not fixed quantities.</t>
  </si>
  <si>
    <t xml:space="preserve">Built from</t>
  </si>
  <si>
    <t xml:space="preserve">31-sheet drawing set (5 Marla, Mr. Sameer Shah, IBN-E-ASGHAR &amp; Associates, 17-11-2025), the existing CostLens v0.4.0 app, Pakistani estimating practice and codes (see Sources).</t>
  </si>
  <si>
    <t xml:space="preserve">Data model</t>
  </si>
  <si>
    <t xml:space="preserve">Drawings -&gt; ELEMENTS (Element_Library) -&gt; WORK ITEMS (Work_Items: measured BOQ items with measurement rules) -&gt; RECIPES (coefficients per unit work) -&gt; MATERIALS (Material_Master). Material qty = Σ(WI qty × coefficient) × (1 + wastage).</t>
  </si>
  <si>
    <t xml:space="preserve">Colour legend</t>
  </si>
  <si>
    <t xml:space="preserve">Blue text = editable input/assumption. Black = formula. Green = cross-sheet lookup. Yellow fill = to be filled by user (rates, counts). Light-blue headers in Material_Master = the 9 required columns.</t>
  </si>
  <si>
    <t xml:space="preserve">Material_Master</t>
  </si>
  <si>
    <t xml:space="preserve">One row per procurable material. Mat_ID is the permanent key (never reuse). Formula_Key = RECIPE means quantities come from Recipes; otherwise see Calc_Methods grammar.</t>
  </si>
  <si>
    <t xml:space="preserve">Work_Items</t>
  </si>
  <si>
    <t xml:space="preserve">Measured BOQ items with measurement rule, engine formula expression, required inputs, default spec and mapping to legacy app codes.</t>
  </si>
  <si>
    <t xml:space="preserve">Recipes</t>
  </si>
  <si>
    <t xml:space="preserve">Work item -&gt; material coefficients (live formulas linked to Coefficients and Mix_Design). Changing a coefficient updates all recipes.</t>
  </si>
  <si>
    <t xml:space="preserve">Coefficients</t>
  </si>
  <si>
    <t xml:space="preserve">All engineering constants/allowances with units, basis and source. Derived coefficients are formulas.</t>
  </si>
  <si>
    <t xml:space="preserve">Mix_Design</t>
  </si>
  <si>
    <t xml:space="preserve">Nominal mixes (PCC 1:4:8, RCC 1:2:4, 1:1.5:3, mortars) -&gt; cement bags, sand, crush per cft/m3 using dry volume factors.</t>
  </si>
  <si>
    <t xml:space="preserve">Wastage_Factors</t>
  </si>
  <si>
    <t xml:space="preserve">Default / min / max wastage per material class.</t>
  </si>
  <si>
    <t xml:space="preserve">Input_Dictionary</t>
  </si>
  <si>
    <t xml:space="preserve">Every parameter the AI extraction must produce or the user must confirm, with defaults, validation ranges and sample values.</t>
  </si>
  <si>
    <t xml:space="preserve">Element_Library</t>
  </si>
  <si>
    <t xml:space="preserve">Drawing elements the AI must detect, which attributes to extract and which work items they drive.</t>
  </si>
  <si>
    <t xml:space="preserve">Room_Finish_Defaults</t>
  </si>
  <si>
    <t xml:space="preserve">Room type -&gt; default finishes, electrical point counts and plumbing fixtures (used when schedules are missing). Keywords map AI room labels.</t>
  </si>
  <si>
    <t xml:space="preserve">Scope_Map</t>
  </si>
  <si>
    <t xml:space="preserve">Category vs user scopes (Architecture/Structure/Electrical/Plumbing/HVAC/External/Complete + PK Grey Structure / Finishing packages).</t>
  </si>
  <si>
    <t xml:space="preserve">Stages</t>
  </si>
  <si>
    <t xml:space="preserve">Construction stages S0-S9 for procurement scheduling.</t>
  </si>
  <si>
    <t xml:space="preserve">Calc_Methods / Units</t>
  </si>
  <si>
    <t xml:space="preserve">Formula_Key grammar and unit conversions (FPS display, SI canonical).</t>
  </si>
  <si>
    <t xml:space="preserve">Drawing_Checklist</t>
  </si>
  <si>
    <t xml:space="preserve">What a complete drawing set should contain and fallbacks when missing.</t>
  </si>
  <si>
    <t xml:space="preserve">Sample_Project_Extract</t>
  </si>
  <si>
    <t xml:space="preserve">Values read from the sample drawings (rooms, doors, columns, tanks) - acts as a test fixture.</t>
  </si>
  <si>
    <t xml:space="preserve">Formula_Demo</t>
  </si>
  <si>
    <t xml:space="preserve">Live worked examples proving the chain Coefficients -&gt; Mix_Design -&gt; quantities.</t>
  </si>
  <si>
    <t xml:space="preserve">Gaps_Overlooked</t>
  </si>
  <si>
    <t xml:space="preserve">Conflicts/omissions in the sample set and commonly overlooked items.</t>
  </si>
  <si>
    <t xml:space="preserve">Validation_Benchmarks</t>
  </si>
  <si>
    <t xml:space="preserve">Sanity-check ranges (warnings only).</t>
  </si>
  <si>
    <t xml:space="preserve">Rate_Template</t>
  </si>
  <si>
    <t xml:space="preserve">Blank rate book keyed by Mat_ID (rates change weekly - keep separate from quantities).</t>
  </si>
  <si>
    <t xml:space="preserve">Key rules</t>
  </si>
  <si>
    <t xml:space="preserve">1) Never invent quantities - missing inputs are flagged. 2) AI extracts, deterministic engine calculates. 3) Every quantity traceable to a drawing element + rule + coefficient. 4) User verifies low-confidence items before BOQ export.</t>
  </si>
  <si>
    <t xml:space="preserve">Counts</t>
  </si>
  <si>
    <t xml:space="preserve">Disclaimer</t>
  </si>
  <si>
    <t xml:space="preserve">Coefficients marked 'Allowance' are estimating defaults and must be calibrated; structural quantities require an engineer's design/BBS. Not a substitute for professional design.</t>
  </si>
  <si>
    <t xml:space="preserve">Mat_ID</t>
  </si>
  <si>
    <t xml:space="preserve">Category</t>
  </si>
  <si>
    <t xml:space="preserve">Subcategory</t>
  </si>
  <si>
    <t xml:space="preserve">Material Description</t>
  </si>
  <si>
    <t xml:space="preserve">Specification/Grade</t>
  </si>
  <si>
    <t xml:space="preserve">Unit</t>
  </si>
  <si>
    <t xml:space="preserve">Typical Application</t>
  </si>
  <si>
    <t xml:space="preserve">Calculation Basis/Formula</t>
  </si>
  <si>
    <t xml:space="preserve">Required Inputs</t>
  </si>
  <si>
    <t xml:space="preserve">Notes</t>
  </si>
  <si>
    <t xml:space="preserve">Scope</t>
  </si>
  <si>
    <t xml:space="preserve">Standard/Reference</t>
  </si>
  <si>
    <t xml:space="preserve">Takeoff Unit</t>
  </si>
  <si>
    <t xml:space="preserve">Formula_Key</t>
  </si>
  <si>
    <t xml:space="preserve">Linked Work Items</t>
  </si>
  <si>
    <t xml:space="preserve">Wastage_Key</t>
  </si>
  <si>
    <t xml:space="preserve">Wastage %</t>
  </si>
  <si>
    <t xml:space="preserve">Construction Stage</t>
  </si>
  <si>
    <t xml:space="preserve">Tier/Option</t>
  </si>
  <si>
    <t xml:space="preserve">In Sample Drawings?</t>
  </si>
  <si>
    <t xml:space="preserve">Drawing Source</t>
  </si>
  <si>
    <t xml:space="preserve">Legacy App Code</t>
  </si>
  <si>
    <t xml:space="preserve">PRE-001</t>
  </si>
  <si>
    <t xml:space="preserve">Preliminaries &amp; Site</t>
  </si>
  <si>
    <t xml:space="preserve">Temporary works</t>
  </si>
  <si>
    <t xml:space="preserve">Site hoarding / temporary enclosure</t>
  </si>
  <si>
    <t xml:space="preserve">GI corrugated sheet 26-28 SWG on timber/pipe posts, or tarpaulin</t>
  </si>
  <si>
    <t xml:space="preserve">rft</t>
  </si>
  <si>
    <t xml:space="preserve">Open plot sides, safety &amp; material security</t>
  </si>
  <si>
    <t xml:space="preserve">Q = open boundary length (plot perimeter - shared walls - existing walls)</t>
  </si>
  <si>
    <t xml:space="preserve">SITE_W, SITE_D, BOUNDARY_LEN</t>
  </si>
  <si>
    <t xml:space="preserve">Often omitted in estimates; reusable - consider hire.</t>
  </si>
  <si>
    <t xml:space="preserve">Complete</t>
  </si>
  <si>
    <t xml:space="preserve">-</t>
  </si>
  <si>
    <t xml:space="preserve">LEN(site.open_boundary)</t>
  </si>
  <si>
    <t xml:space="preserve">W_NIL</t>
  </si>
  <si>
    <t xml:space="preserve">S0</t>
  </si>
  <si>
    <t xml:space="preserve">Optional</t>
  </si>
  <si>
    <t xml:space="preserve">Not shown</t>
  </si>
  <si>
    <t xml:space="preserve">Site plan (sh.1)</t>
  </si>
  <si>
    <t xml:space="preserve">PRE-002</t>
  </si>
  <si>
    <t xml:space="preserve">Temporary services</t>
  </si>
  <si>
    <t xml:space="preserve">Temporary electricity connection &amp; site DB</t>
  </si>
  <si>
    <t xml:space="preserve">IESCO temporary connection; site DB with RCCB</t>
  </si>
  <si>
    <t xml:space="preserve">LS</t>
  </si>
  <si>
    <t xml:space="preserve">Construction power (mixer, vibrator, lighting)</t>
  </si>
  <si>
    <t xml:space="preserve">1 per project</t>
  </si>
  <si>
    <t xml:space="preserve">Utility fees are statutory - verify with IESCO.</t>
  </si>
  <si>
    <t xml:space="preserve">PETSAC-2014</t>
  </si>
  <si>
    <t xml:space="preserve">Standard</t>
  </si>
  <si>
    <t xml:space="preserve">PRE-003</t>
  </si>
  <si>
    <t xml:space="preserve">Site store, watchman shed &amp; toilet</t>
  </si>
  <si>
    <t xml:space="preserve">Brick/steel temporary shed</t>
  </si>
  <si>
    <t xml:space="preserve">Material storage (cement must be kept dry)</t>
  </si>
  <si>
    <t xml:space="preserve">PRE-004</t>
  </si>
  <si>
    <t xml:space="preserve">Setting out</t>
  </si>
  <si>
    <t xml:space="preserve">Setting-out consumables</t>
  </si>
  <si>
    <t xml:space="preserve">Lime powder, pegs, string line, profile boards</t>
  </si>
  <si>
    <t xml:space="preserve">Layout of foundations &amp; walls</t>
  </si>
  <si>
    <t xml:space="preserve">Implied</t>
  </si>
  <si>
    <t xml:space="preserve">Foundation plan</t>
  </si>
  <si>
    <t xml:space="preserve">PRE-005</t>
  </si>
  <si>
    <t xml:space="preserve">Investigations</t>
  </si>
  <si>
    <t xml:space="preserve">Soil investigation (SBC test)</t>
  </si>
  <si>
    <t xml:space="preserve">2 boreholes / test pits, SBC &amp; soil classification</t>
  </si>
  <si>
    <t xml:space="preserve">Nos</t>
  </si>
  <si>
    <t xml:space="preserve">Confirms footing sizes &amp; founding depth</t>
  </si>
  <si>
    <t xml:space="preserve">Min 1-2 per plot</t>
  </si>
  <si>
    <t xml:space="preserve">PLOT_MARLA</t>
  </si>
  <si>
    <t xml:space="preserve">Foundation drawings assume SBC; none stated. Strongly recommended in Islamabad (variable clay/shale).</t>
  </si>
  <si>
    <t xml:space="preserve">BCP-2021 Ch.18</t>
  </si>
  <si>
    <t xml:space="preserve">COUNT(1..2)</t>
  </si>
  <si>
    <t xml:space="preserve">Recommended</t>
  </si>
  <si>
    <t xml:space="preserve">PRE-006</t>
  </si>
  <si>
    <t xml:space="preserve">Quality testing</t>
  </si>
  <si>
    <t xml:space="preserve">Material testing (concrete cubes, rebar tensile, bricks)</t>
  </si>
  <si>
    <t xml:space="preserve">Cubes 3 per pour (7/28 day); rebar tensile/bend per lot</t>
  </si>
  <si>
    <t xml:space="preserve">QA/QC</t>
  </si>
  <si>
    <t xml:space="preserve">Cubes = 3 x number of pours; rebar tests = 1 per lot/diameter</t>
  </si>
  <si>
    <t xml:space="preserve">SLAB_AREA, N_FLOORS</t>
  </si>
  <si>
    <t xml:space="preserve">ASTM C39 / A615</t>
  </si>
  <si>
    <t xml:space="preserve">COUNT(pours)*3</t>
  </si>
  <si>
    <t xml:space="preserve">S1</t>
  </si>
  <si>
    <t xml:space="preserve">PRE-007</t>
  </si>
  <si>
    <t xml:space="preserve">Safety</t>
  </si>
  <si>
    <t xml:space="preserve">PPE, safety nets, barricading</t>
  </si>
  <si>
    <t xml:space="preserve">Helmets, shoes, harness for roof works, edge protection</t>
  </si>
  <si>
    <t xml:space="preserve">Site safety</t>
  </si>
  <si>
    <t xml:space="preserve">EW-001</t>
  </si>
  <si>
    <t xml:space="preserve">Earthwork &amp; Site Prep</t>
  </si>
  <si>
    <t xml:space="preserve">Excavation</t>
  </si>
  <si>
    <t xml:space="preserve">Surplus excavated earth - disposal (tractor trolley loads)</t>
  </si>
  <si>
    <t xml:space="preserve">Carted to approved dump</t>
  </si>
  <si>
    <t xml:space="preserve">cft</t>
  </si>
  <si>
    <t xml:space="preserve">Excavated material not reused</t>
  </si>
  <si>
    <t xml:space="preserve">Q = Σ [WI qty × Recipe coefficient] × (1 + Wastage %)  — driven by WI-EW-09 (see Recipes)</t>
  </si>
  <si>
    <t xml:space="preserve">FDN_STRIP_LEN, FDN_SECTION, FTG_ISO, TANK_*</t>
  </si>
  <si>
    <t xml:space="preserve">Loose volume = bank volume x bulking (~1.25).</t>
  </si>
  <si>
    <t xml:space="preserve">Structure</t>
  </si>
  <si>
    <t xml:space="preserve">RECIPE</t>
  </si>
  <si>
    <t xml:space="preserve">WI-EW-09</t>
  </si>
  <si>
    <t xml:space="preserve">Foundation details (sh.14-15)</t>
  </si>
  <si>
    <t xml:space="preserve">EW-002</t>
  </si>
  <si>
    <t xml:space="preserve">Filling</t>
  </si>
  <si>
    <t xml:space="preserve">Imported earth for plinth filling</t>
  </si>
  <si>
    <t xml:space="preserve">Good earth, free of organics, compacted in 6in layers at OMC</t>
  </si>
  <si>
    <t xml:space="preserve">Plinth fill between foundation walls up to floor base level</t>
  </si>
  <si>
    <t xml:space="preserve">Q = Σ [WI qty × Recipe coefficient] × (1 + Wastage %)  — driven by WI-EW-05 (see Recipes)</t>
  </si>
  <si>
    <t xml:space="preserve">H_PLINTH, ROOM(GF), T_FLOOR_BUILDUP</t>
  </si>
  <si>
    <t xml:space="preserve">Drawing plinth 1'-6" above road; porch level differs.</t>
  </si>
  <si>
    <t xml:space="preserve">WI-EW-05</t>
  </si>
  <si>
    <t xml:space="preserve">W_EARTH</t>
  </si>
  <si>
    <t xml:space="preserve">Elevations: plinth 1'-6" (sh.5-7)</t>
  </si>
  <si>
    <t xml:space="preserve">PLINTH-FILL-01</t>
  </si>
  <si>
    <t xml:space="preserve">EW-003</t>
  </si>
  <si>
    <t xml:space="preserve">Sand filling under floors (local 'bhal' / kassi sand)</t>
  </si>
  <si>
    <t xml:space="preserve">Clean fine sand, watered &amp; compacted</t>
  </si>
  <si>
    <t xml:space="preserve">Levelling layer under soling/PCC</t>
  </si>
  <si>
    <t xml:space="preserve">Q = Σ [WI qty × Recipe coefficient] × (1 + Wastage %)  — driven by WI-EW-06 (see Recipes)</t>
  </si>
  <si>
    <t xml:space="preserve">ROOM(GF)</t>
  </si>
  <si>
    <t xml:space="preserve">WI-EW-06</t>
  </si>
  <si>
    <t xml:space="preserve">W_SAND</t>
  </si>
  <si>
    <t xml:space="preserve">EW-004</t>
  </si>
  <si>
    <t xml:space="preserve">Treatment</t>
  </si>
  <si>
    <t xml:space="preserve">Anti-termite chemical</t>
  </si>
  <si>
    <t xml:space="preserve">Chlorpyrifos 20% EC or imidacloprid, diluted per label</t>
  </si>
  <si>
    <t xml:space="preserve">L</t>
  </si>
  <si>
    <t xml:space="preserve">Trench bottoms &amp; sides, plinth fill, under floors</t>
  </si>
  <si>
    <t xml:space="preserve">Q = Σ [WI qty × Recipe coefficient] × (1 + Wastage %)  — driven by WI-EW-07 (see Recipes)</t>
  </si>
  <si>
    <t xml:space="preserve">FDN_STRIP_LEN, ROOM(GF)</t>
  </si>
  <si>
    <t xml:space="preserve">Not in drawing set; standard in PK specs.</t>
  </si>
  <si>
    <t xml:space="preserve">Manufacturer label</t>
  </si>
  <si>
    <t xml:space="preserve">sft</t>
  </si>
  <si>
    <t xml:space="preserve">WI-EW-07</t>
  </si>
  <si>
    <t xml:space="preserve">W_MISC</t>
  </si>
  <si>
    <t xml:space="preserve">AT-01</t>
  </si>
  <si>
    <t xml:space="preserve">EW-005</t>
  </si>
  <si>
    <t xml:space="preserve">Dewatering</t>
  </si>
  <si>
    <t xml:space="preserve">Dewatering (if water table encountered)</t>
  </si>
  <si>
    <t xml:space="preserve">Pump hire</t>
  </si>
  <si>
    <t xml:space="preserve">Excavation below water table</t>
  </si>
  <si>
    <t xml:space="preserve">Contingent on soil report</t>
  </si>
  <si>
    <t xml:space="preserve">Soil report</t>
  </si>
  <si>
    <t xml:space="preserve">Contingent</t>
  </si>
  <si>
    <t xml:space="preserve">EW-006</t>
  </si>
  <si>
    <t xml:space="preserve">Brick ballast / khangar for sub-base</t>
  </si>
  <si>
    <t xml:space="preserve">Over-burnt brick bats 1.5-2in</t>
  </si>
  <si>
    <t xml:space="preserve">Sub-base under porch/driveway where specified</t>
  </si>
  <si>
    <t xml:space="preserve">Q = area x thickness x 1.15  × (1 + Wastage %)</t>
  </si>
  <si>
    <t xml:space="preserve">PAVING_AREA</t>
  </si>
  <si>
    <t xml:space="preserve">AREA(paving)*T</t>
  </si>
  <si>
    <t xml:space="preserve">W_AGG</t>
  </si>
  <si>
    <t xml:space="preserve">S8</t>
  </si>
  <si>
    <t xml:space="preserve">EW-007</t>
  </si>
  <si>
    <t xml:space="preserve">Membranes</t>
  </si>
  <si>
    <t xml:space="preserve">Polythene vapour barrier under GF floor</t>
  </si>
  <si>
    <t xml:space="preserve">500-1000 gauge LDPE</t>
  </si>
  <si>
    <t xml:space="preserve">Below GF floor PCC</t>
  </si>
  <si>
    <t xml:space="preserve">Q = Σ [WI qty × Recipe coefficient] × (1 + Wastage %)  — driven by WI-EW-08 (see Recipes)</t>
  </si>
  <si>
    <t xml:space="preserve">WI-EW-08</t>
  </si>
  <si>
    <t xml:space="preserve">W_POLY</t>
  </si>
  <si>
    <t xml:space="preserve">CON-001</t>
  </si>
  <si>
    <t xml:space="preserve">Concrete &amp; Aggregates</t>
  </si>
  <si>
    <t xml:space="preserve">Binders</t>
  </si>
  <si>
    <t xml:space="preserve">Ordinary Portland Cement (OPC) - 50 kg bag</t>
  </si>
  <si>
    <t xml:space="preserve">Type I, 42.5 grade; fresh stock (&lt;60 days)</t>
  </si>
  <si>
    <t xml:space="preserve">bag</t>
  </si>
  <si>
    <t xml:space="preserve">All concrete, mortar, plaster, screeds, DPC, bedding</t>
  </si>
  <si>
    <t xml:space="preserve">Q = Σ [WI qty × Recipe coefficient] × (1 + Wastage %)  — driven by WI-CN-01, WI-CN-02, WI-CN-03, WI-CN-04, WI-CN-05, WI-CN-06, WI-CN-07, WI-CN-08, WI-CN-09, WI-CN-10, WI-CN-11, WI-CN-12, WI-CN-13, WI-MS-01, WI-MS-02, WI-MS-03, WI-MS-04, WI-MS-06, WI-PL-01, WI-PL-02, WI-PL-03, WI-PL-04, WI-WP-01, WI-WP-02, WI-WP-04, WI-FL-01, WI-FL-02, WI-FL-04, WI-PB-12, WI-PB-13, WI-EX-01 (see Recipes)</t>
  </si>
  <si>
    <t xml:space="preserve">All concrete/mortar work items</t>
  </si>
  <si>
    <t xml:space="preserve">North-region brands: Bestway, Fauji, DG Khan, Askari, Kohat, Cherat, Maple Leaf, Lucky. Cement is ordered in phases - see Construction Stage.</t>
  </si>
  <si>
    <t xml:space="preserve">PS 232 / ASTM C150</t>
  </si>
  <si>
    <t xml:space="preserve">WI-CN-01, WI-CN-02, WI-CN-03, WI-CN-04, WI-CN-05, WI-CN-06, WI-CN-07, WI-CN-08, WI-CN-09, WI-CN-10, WI-CN-11, WI-CN-12, WI-CN-13, WI-MS-01, WI-MS-02, WI-MS-03, WI-MS-04, WI-MS-06, WI-PL-01, WI-PL-02, WI-PL-03, WI-PL-04, WI-WP-01, WI-WP-02, WI-WP-04, WI-FL-01, WI-FL-02, WI-FL-04, WI-PB-12, WI-PB-13, WI-EX-01</t>
  </si>
  <si>
    <t xml:space="preserve">W_CEM</t>
  </si>
  <si>
    <t xml:space="preserve">S1-S6</t>
  </si>
  <si>
    <t xml:space="preserve">Specified</t>
  </si>
  <si>
    <t xml:space="preserve">sh.14-16, 24</t>
  </si>
  <si>
    <t xml:space="preserve">BEAM-CONC-01, COL-CONC-01, DPC-01, FDN-MAS-01, FLR-01, FTG-CONC-01, GF-PCC-01, LINTEL-CONC-01, MAS-01, PCC-01, PLAS-01, PLAS-02, PLAS-03, ROOF-01, SLAB-CONC-01, STAIR-CONC-01, WP-01, WSD-01</t>
  </si>
  <si>
    <t xml:space="preserve">CON-002</t>
  </si>
  <si>
    <t xml:space="preserve">Sulphate Resisting Cement (SRC)</t>
  </si>
  <si>
    <t xml:space="preserve">ASTM C150 Type V</t>
  </si>
  <si>
    <t xml:space="preserve">Foundations, septic tank, UG tank where sulphate/saline soil</t>
  </si>
  <si>
    <t xml:space="preserve">Replace CON-001 in substructure items if soil report indicates sulphates  × (1 + Wastage %)</t>
  </si>
  <si>
    <t xml:space="preserve">ASTM C150</t>
  </si>
  <si>
    <t xml:space="preserve">RECIPE(substitute)</t>
  </si>
  <si>
    <t xml:space="preserve">CON-003</t>
  </si>
  <si>
    <t xml:space="preserve">White cement</t>
  </si>
  <si>
    <t xml:space="preserve">White Portland cement</t>
  </si>
  <si>
    <t xml:space="preserve">kg</t>
  </si>
  <si>
    <t xml:space="preserve">Marble joints, tile grout (economy), pointing</t>
  </si>
  <si>
    <t xml:space="preserve">Q = Σ [WI qty × Recipe coefficient] × (1 + Wastage %)  — driven by WI-FL-04 (see Recipes)</t>
  </si>
  <si>
    <t xml:space="preserve">ROOM</t>
  </si>
  <si>
    <t xml:space="preserve">Architecture</t>
  </si>
  <si>
    <t xml:space="preserve">WI-FL-04</t>
  </si>
  <si>
    <t xml:space="preserve">S6</t>
  </si>
  <si>
    <t xml:space="preserve">FLR-01</t>
  </si>
  <si>
    <t xml:space="preserve">CON-004</t>
  </si>
  <si>
    <t xml:space="preserve">Fine aggregate</t>
  </si>
  <si>
    <t xml:space="preserve">Coarse sand for concrete (Lawrencepur)</t>
  </si>
  <si>
    <t xml:space="preserve">FM &gt;= 2.5, silt &lt; 3%</t>
  </si>
  <si>
    <t xml:space="preserve">RCC, PCC, DPC</t>
  </si>
  <si>
    <t xml:space="preserve">Q = Σ [WI qty × Recipe coefficient] × (1 + Wastage %)  — driven by WI-CN-01, WI-CN-02, WI-CN-03, WI-CN-04, WI-CN-05, WI-CN-06, WI-CN-07, WI-CN-08, WI-CN-09, WI-CN-10, WI-CN-11, WI-CN-12, WI-CN-13, WI-EX-01 (see Recipes)</t>
  </si>
  <si>
    <t xml:space="preserve">Concrete work items</t>
  </si>
  <si>
    <t xml:space="preserve">Lawrencepur is the default concrete sand in Islamabad/Rawalpindi. Trucks/trolleys vary in cft - verify load size.</t>
  </si>
  <si>
    <t xml:space="preserve">ASTM C33</t>
  </si>
  <si>
    <t xml:space="preserve">WI-CN-01, WI-CN-02, WI-CN-03, WI-CN-04, WI-CN-05, WI-CN-06, WI-CN-07, WI-CN-08, WI-CN-09, WI-CN-10, WI-CN-11, WI-CN-12, WI-CN-13, WI-EX-01</t>
  </si>
  <si>
    <t xml:space="preserve">S1-S3</t>
  </si>
  <si>
    <t xml:space="preserve">BEAM-CONC-01, COL-CONC-01, DPC-01, FTG-CONC-01, GF-PCC-01, LINTEL-CONC-01, PCC-01, SLAB-CONC-01, STAIR-CONC-01</t>
  </si>
  <si>
    <t xml:space="preserve">CON-005</t>
  </si>
  <si>
    <t xml:space="preserve">Sand for masonry &amp; plaster</t>
  </si>
  <si>
    <t xml:space="preserve">Screened, FM 1.8-2.5, clean</t>
  </si>
  <si>
    <t xml:space="preserve">Brick mortar, plaster, tile bedding, screeds</t>
  </si>
  <si>
    <t xml:space="preserve">Q = Σ [WI qty × Recipe coefficient] × (1 + Wastage %)  — driven by WI-MS-01, WI-MS-02, WI-MS-03, WI-MS-04, WI-MS-05, WI-MS-06, WI-PL-01, WI-PL-02, WI-PL-03, WI-PL-04, WI-WP-01, WI-WP-02, WI-WP-04, WI-FL-01, WI-FL-02, WI-FL-04, WI-PB-12, WI-PB-13, WI-EX-01 (see Recipes)</t>
  </si>
  <si>
    <t xml:space="preserve">Masonry/plaster work items</t>
  </si>
  <si>
    <t xml:space="preserve">Can be same source as CON-004; separate line allows different pricing (e.g. fine plaster sand).</t>
  </si>
  <si>
    <t xml:space="preserve">ASTM C144</t>
  </si>
  <si>
    <t xml:space="preserve">WI-MS-01, WI-MS-02, WI-MS-03, WI-MS-04, WI-MS-05, WI-MS-06, WI-PL-01, WI-PL-02, WI-PL-03, WI-PL-04, WI-WP-01, WI-WP-02, WI-WP-04, WI-FL-01, WI-FL-02, WI-FL-04, WI-PB-12, WI-PB-13, WI-EX-01</t>
  </si>
  <si>
    <t xml:space="preserve">FDN-MAS-01, FLR-01, GF-SOL-01, MAS-01, PLAS-01, PLAS-02, PLAS-03, ROOF-01, WP-01, WSD-01</t>
  </si>
  <si>
    <t xml:space="preserve">CON-006</t>
  </si>
  <si>
    <t xml:space="preserve">Coarse aggregate</t>
  </si>
  <si>
    <t xml:space="preserve">Crushed stone 3/4in down (Margalla crush)</t>
  </si>
  <si>
    <t xml:space="preserve">Graded 3/4in-#4, clean, angular</t>
  </si>
  <si>
    <t xml:space="preserve">RCC footings, columns, beams, slabs, tanks</t>
  </si>
  <si>
    <t xml:space="preserve">Q = Σ [WI qty × Recipe coefficient] × (1 + Wastage %)  — driven by WI-CN-03, WI-CN-04, WI-CN-05, WI-CN-06, WI-CN-07, WI-CN-08, WI-CN-11 (see Recipes)</t>
  </si>
  <si>
    <t xml:space="preserve">Margalla crush is local to Islamabad; Sargodha crush alternative.</t>
  </si>
  <si>
    <t xml:space="preserve">WI-CN-03, WI-CN-04, WI-CN-05, WI-CN-06, WI-CN-07, WI-CN-08, WI-CN-11</t>
  </si>
  <si>
    <t xml:space="preserve">BEAM-CONC-01, COL-CONC-01, FTG-CONC-01, SLAB-CONC-01, STAIR-CONC-01</t>
  </si>
  <si>
    <t xml:space="preserve">CON-007</t>
  </si>
  <si>
    <t xml:space="preserve">Crushed stone 1/2in / 3/8in down</t>
  </si>
  <si>
    <t xml:space="preserve">Graded</t>
  </si>
  <si>
    <t xml:space="preserve">DPC, lintels, chajjas, apron, thin sections</t>
  </si>
  <si>
    <t xml:space="preserve">Q = Σ [WI qty × Recipe coefficient] × (1 + Wastage %)  — driven by WI-CN-09, WI-CN-10, WI-CN-12, WI-CN-13 (see Recipes)</t>
  </si>
  <si>
    <t xml:space="preserve">DPC, lintels</t>
  </si>
  <si>
    <t xml:space="preserve">WI-CN-09, WI-CN-10, WI-CN-12, WI-CN-13</t>
  </si>
  <si>
    <t xml:space="preserve">S1-S2</t>
  </si>
  <si>
    <t xml:space="preserve">sh.14</t>
  </si>
  <si>
    <t xml:space="preserve">DPC-01, LINTEL-CONC-01</t>
  </si>
  <si>
    <t xml:space="preserve">CON-008</t>
  </si>
  <si>
    <t xml:space="preserve">Crushed stone 1.5in down (or brick ballast)</t>
  </si>
  <si>
    <t xml:space="preserve">For lean concrete</t>
  </si>
  <si>
    <t xml:space="preserve">PCC 1:4:8 foundation base, floor base, manholes</t>
  </si>
  <si>
    <t xml:space="preserve">Q = Σ [WI qty × Recipe coefficient] × (1 + Wastage %)  — driven by WI-CN-01, WI-CN-02, WI-PB-12, WI-PB-13, WI-EX-01 (see Recipes)</t>
  </si>
  <si>
    <t xml:space="preserve">PCC work items</t>
  </si>
  <si>
    <t xml:space="preserve">WI-CN-01, WI-CN-02, WI-PB-12, WI-PB-13, WI-EX-01</t>
  </si>
  <si>
    <t xml:space="preserve">GF-PCC-01, PCC-01, WSD-01</t>
  </si>
  <si>
    <t xml:space="preserve">CON-009</t>
  </si>
  <si>
    <t xml:space="preserve">Ready-mix</t>
  </si>
  <si>
    <t xml:space="preserve">Ready-mix concrete (alternative to site mix)</t>
  </si>
  <si>
    <t xml:space="preserve">3000-4000 psi, slump per element</t>
  </si>
  <si>
    <t xml:space="preserve">Roof/floor slabs where access allows</t>
  </si>
  <si>
    <t xml:space="preserve">Q = RCC volume of selected elements x (1 + wastage); replaces CON-001/004/006 for those elements</t>
  </si>
  <si>
    <t xml:space="preserve">SLAB_AREA, T_SLAB</t>
  </si>
  <si>
    <t xml:space="preserve">Pump charges extra; streets in 5-marla sectors may limit truck access.</t>
  </si>
  <si>
    <t xml:space="preserve">ASTM C94</t>
  </si>
  <si>
    <t xml:space="preserve">m3</t>
  </si>
  <si>
    <t xml:space="preserve">VOL(slab)*(1+w)</t>
  </si>
  <si>
    <t xml:space="preserve">W_CONC_RMC</t>
  </si>
  <si>
    <t xml:space="preserve">S2</t>
  </si>
  <si>
    <t xml:space="preserve">CON-010</t>
  </si>
  <si>
    <t xml:space="preserve">Admixtures</t>
  </si>
  <si>
    <t xml:space="preserve">Plasticizer / superplasticizer</t>
  </si>
  <si>
    <t xml:space="preserve">ASTM C494 Type A/F</t>
  </si>
  <si>
    <t xml:space="preserve">Slabs/columns for workability at low w/c</t>
  </si>
  <si>
    <t xml:space="preserve">Q = cement bags in RCC x dosage (typ. 0.25-0.5 L/bag)  × (1 + Wastage %)</t>
  </si>
  <si>
    <t xml:space="preserve">Cement qty (RCC)</t>
  </si>
  <si>
    <t xml:space="preserve">ASTM C494</t>
  </si>
  <si>
    <t xml:space="preserve">RECIPE(cement_RCC)*dose</t>
  </si>
  <si>
    <t xml:space="preserve">CON-011</t>
  </si>
  <si>
    <t xml:space="preserve">Bonding agent (SBR latex)</t>
  </si>
  <si>
    <t xml:space="preserve">SBR emulsion</t>
  </si>
  <si>
    <t xml:space="preserve">Plaster on RCC surfaces, repairs, cold joints</t>
  </si>
  <si>
    <t xml:space="preserve">Q = RCC exposed area to be plastered x 0.01 L/sft  × (1 + Wastage %)</t>
  </si>
  <si>
    <t xml:space="preserve">SLAB_AREA</t>
  </si>
  <si>
    <t xml:space="preserve">AREA(rcc_soffit)*0.01</t>
  </si>
  <si>
    <t xml:space="preserve">S5</t>
  </si>
  <si>
    <t xml:space="preserve">CON-012</t>
  </si>
  <si>
    <t xml:space="preserve">Curing</t>
  </si>
  <si>
    <t xml:space="preserve">Curing hessian / curing compound</t>
  </si>
  <si>
    <t xml:space="preserve">Jute hessian or wax-based compound</t>
  </si>
  <si>
    <t xml:space="preserve">Slabs, columns curing (7-14 days)</t>
  </si>
  <si>
    <t xml:space="preserve">Q = slab area x 1.1 (reused)  × (1 + Wastage %)</t>
  </si>
  <si>
    <t xml:space="preserve">ASTM C309</t>
  </si>
  <si>
    <t xml:space="preserve">AREA(slab)*1.1/reuse</t>
  </si>
  <si>
    <t xml:space="preserve">CON-013</t>
  </si>
  <si>
    <t xml:space="preserve">Accessories</t>
  </si>
  <si>
    <t xml:space="preserve">Cover blocks / rebar spacers</t>
  </si>
  <si>
    <t xml:space="preserve">Concrete or PVC, 3/4in slabs, 1.5in beams/cols, 3in footings</t>
  </si>
  <si>
    <t xml:space="preserve">Maintain concrete cover</t>
  </si>
  <si>
    <t xml:space="preserve">Q = Σ [WI qty × Recipe coefficient] × (1 + Wastage %)  — driven by WI-CN-03, WI-CN-04, WI-CN-05, WI-CN-06, WI-CN-07, WI-CN-08, WI-CN-09 (see Recipes)</t>
  </si>
  <si>
    <t xml:space="preserve">RCC work items</t>
  </si>
  <si>
    <t xml:space="preserve">ACI 318 cover</t>
  </si>
  <si>
    <t xml:space="preserve">WI-CN-03, WI-CN-04, WI-CN-05, WI-CN-06, WI-CN-07, WI-CN-08, WI-CN-09</t>
  </si>
  <si>
    <t xml:space="preserve">BEAM-CONC-01, COL-CONC-01, FTG-CONC-01, LINTEL-CONC-01, SLAB-CONC-01, STAIR-CONC-01</t>
  </si>
  <si>
    <t xml:space="preserve">CON-014</t>
  </si>
  <si>
    <t xml:space="preserve">Aggregate</t>
  </si>
  <si>
    <t xml:space="preserve">Stone/marble chips 1/8-3/8in</t>
  </si>
  <si>
    <t xml:space="preserve">Topping (drawing: 1.5in chips)</t>
  </si>
  <si>
    <t xml:space="preserve">Tank base topping, terrazzo/chips flooring</t>
  </si>
  <si>
    <t xml:space="preserve">Q = area x thickness x dry factor 1.3  × (1 + Wastage %)</t>
  </si>
  <si>
    <t xml:space="preserve">TANK_UG</t>
  </si>
  <si>
    <t xml:space="preserve">Drawing notes '1.5in thick chips' in UG/septic tank details.</t>
  </si>
  <si>
    <t xml:space="preserve">AREA*T*1.3</t>
  </si>
  <si>
    <t xml:space="preserve">Tanks detail (sh.16)</t>
  </si>
  <si>
    <t xml:space="preserve">RBR-001</t>
  </si>
  <si>
    <t xml:space="preserve">Reinforcement &amp; Steel</t>
  </si>
  <si>
    <t xml:space="preserve">Rebar</t>
  </si>
  <si>
    <t xml:space="preserve">Deformed bar #3 (10 mm / 3/8in)</t>
  </si>
  <si>
    <t xml:space="preserve">ASTM A615 Grade 60 (fy 60,000 psi / 420 MPa); 0.56 kg/m</t>
  </si>
  <si>
    <t xml:space="preserve">Ties/stirrups, slab distribution, tank walls (3/8in @6in c/c per drawing)</t>
  </si>
  <si>
    <t xml:space="preserve">Q = Σ [WI qty × Recipe coefficient] × (1 + Wastage %)  — driven by WI-RF-01, WI-RF-02, WI-RF-03, WI-RF-04, WI-RF-05, WI-RF-06, WI-RF-07 (see Recipes)</t>
  </si>
  <si>
    <t xml:space="preserve">BBS or member volumes + K_ST ratios</t>
  </si>
  <si>
    <t xml:space="preserve">Mills: Amreli, Mughal, Ittehad, Naveena, Agha, AFCO. Standard length 12 m (40 ft). Purchase in tons.</t>
  </si>
  <si>
    <t xml:space="preserve">ASTM A615 Gr60</t>
  </si>
  <si>
    <t xml:space="preserve">WI-RF-01, WI-RF-02, WI-RF-03, WI-RF-04, WI-RF-05, WI-RF-06, WI-RF-07</t>
  </si>
  <si>
    <t xml:space="preserve">W_STEEL</t>
  </si>
  <si>
    <t xml:space="preserve">sh.14, 16</t>
  </si>
  <si>
    <t xml:space="preserve">BEAM-STEEL-01, COL-STEEL-01, FTG-STEEL-01, LINTEL-STEEL-01, SLAB-STEEL-01, STAIR-STEEL-01</t>
  </si>
  <si>
    <t xml:space="preserve">RBR-002</t>
  </si>
  <si>
    <t xml:space="preserve">Deformed bar #4 (12 mm / 1/2in)</t>
  </si>
  <si>
    <t xml:space="preserve">ASTM A615 Gr60; 0.99 kg/m</t>
  </si>
  <si>
    <t xml:space="preserve">Slab main bars, column/beam bars, footing mats</t>
  </si>
  <si>
    <t xml:space="preserve">Q = Σ [WI qty × Recipe coefficient] × (1 + Wastage %)  — driven by WI-RF-01, WI-RF-02, WI-RF-03, WI-RF-04, WI-RF-05, WI-RF-06, WI-PB-12 (see Recipes)</t>
  </si>
  <si>
    <t xml:space="preserve">BBS</t>
  </si>
  <si>
    <t xml:space="preserve">WI-RF-01, WI-RF-02, WI-RF-03, WI-RF-04, WI-RF-05, WI-RF-06, WI-PB-12</t>
  </si>
  <si>
    <t xml:space="preserve">sh.14 (sec AA #4)</t>
  </si>
  <si>
    <t xml:space="preserve">BEAM-STEEL-01, COL-STEEL-01, FTG-STEEL-01, LINTEL-STEEL-01, SLAB-STEEL-01, STAIR-STEEL-01, WSD-01</t>
  </si>
  <si>
    <t xml:space="preserve">RBR-003</t>
  </si>
  <si>
    <t xml:space="preserve">Deformed bar #5 (16 mm / 5/8in)</t>
  </si>
  <si>
    <t xml:space="preserve">ASTM A615 Gr60; 1.58 kg/m</t>
  </si>
  <si>
    <t xml:space="preserve">Beam &amp; column main bars</t>
  </si>
  <si>
    <t xml:space="preserve">Q = Σ [WI qty × Recipe coefficient] × (1 + Wastage %)  — driven by WI-RF-02, WI-RF-03 (see Recipes)</t>
  </si>
  <si>
    <t xml:space="preserve">No beam/column schedule in drawing set - quantity from ratio only until structural drawings are issued.</t>
  </si>
  <si>
    <t xml:space="preserve">WI-RF-02, WI-RF-03</t>
  </si>
  <si>
    <t xml:space="preserve">Not detailed</t>
  </si>
  <si>
    <t xml:space="preserve">BEAM-STEEL-01, COL-STEEL-01</t>
  </si>
  <si>
    <t xml:space="preserve">RBR-004</t>
  </si>
  <si>
    <t xml:space="preserve">Deformed bar #6 (19/20 mm / 3/4in)</t>
  </si>
  <si>
    <t xml:space="preserve">ASTM A615 Gr60; 2.24 kg/m</t>
  </si>
  <si>
    <t xml:space="preserve">Longer-span beams, 10-marla columns, cantilevers</t>
  </si>
  <si>
    <t xml:space="preserve">Q = BBS kg for #6 bars x (1 + w)</t>
  </si>
  <si>
    <t xml:space="preserve">BBS(#6)</t>
  </si>
  <si>
    <t xml:space="preserve">RBR-006</t>
  </si>
  <si>
    <t xml:space="preserve">Binding wire (black annealed)</t>
  </si>
  <si>
    <t xml:space="preserve">18/20 SWG</t>
  </si>
  <si>
    <t xml:space="preserve">Tying all reinforcement</t>
  </si>
  <si>
    <t xml:space="preserve">Total rebar kg</t>
  </si>
  <si>
    <t xml:space="preserve">~10 kg per tonne of steel.</t>
  </si>
  <si>
    <t xml:space="preserve">RBR-007</t>
  </si>
  <si>
    <t xml:space="preserve">Chairs / bar supports</t>
  </si>
  <si>
    <t xml:space="preserve">Fabricated from #3/#4 bars</t>
  </si>
  <si>
    <t xml:space="preserve">Top-mat support in slabs/footings</t>
  </si>
  <si>
    <t xml:space="preserve">Q = 1-1.5% of slab + footing steel (if not in BBS)  × (1 + Wastage %)</t>
  </si>
  <si>
    <t xml:space="preserve">Usually included in BBS/ratio - avoid double counting.</t>
  </si>
  <si>
    <t xml:space="preserve">(WI-RF-01+WI-RF-04)*0.015</t>
  </si>
  <si>
    <t xml:space="preserve">RBR-008</t>
  </si>
  <si>
    <t xml:space="preserve">Mesh</t>
  </si>
  <si>
    <t xml:space="preserve">Welded wire mesh</t>
  </si>
  <si>
    <t xml:space="preserve">e.g. 6mm @ 6in</t>
  </si>
  <si>
    <t xml:space="preserve">Porch/driveway slabs, screed crack control</t>
  </si>
  <si>
    <t xml:space="preserve">Q = area x 1.1 (laps)  × (1 + Wastage %)</t>
  </si>
  <si>
    <t xml:space="preserve">ASTM A1064</t>
  </si>
  <si>
    <t xml:space="preserve">AREA*1.1</t>
  </si>
  <si>
    <t xml:space="preserve">RBR-009</t>
  </si>
  <si>
    <t xml:space="preserve">Structural steel</t>
  </si>
  <si>
    <t xml:space="preserve">MS sections (angles, channels, pipes, flats)</t>
  </si>
  <si>
    <t xml:space="preserve">ASTM A36 / local MS</t>
  </si>
  <si>
    <t xml:space="preserve">Tank stand, canopy frames, gate frame, manhole frames</t>
  </si>
  <si>
    <t xml:space="preserve">Q = sum(member length x unit weight) from details  × (1 + Wastage %)</t>
  </si>
  <si>
    <t xml:space="preserve">Details</t>
  </si>
  <si>
    <t xml:space="preserve">Manhole cover frames specified as 2x2x1/4in angle; 2.5x2.5x1/2in CI angle frame.</t>
  </si>
  <si>
    <t xml:space="preserve">ASTM A36</t>
  </si>
  <si>
    <t xml:space="preserve">SUM(len*kg_m)</t>
  </si>
  <si>
    <t xml:space="preserve">W_STEEL_SECT</t>
  </si>
  <si>
    <t xml:space="preserve">S2-S8</t>
  </si>
  <si>
    <t xml:space="preserve">sh.24 (2x2x1/4 angle frames)</t>
  </si>
  <si>
    <t xml:space="preserve">RBR-010</t>
  </si>
  <si>
    <t xml:space="preserve">Seismic</t>
  </si>
  <si>
    <t xml:space="preserve">Wall ties / dowels at column-wall &amp; wall-wall junctions</t>
  </si>
  <si>
    <t xml:space="preserve">#3 bar 2ft long every 4th course, or GI hoop iron</t>
  </si>
  <si>
    <t xml:space="preserve">Tie masonry to RCC columns; seismic zone 2B</t>
  </si>
  <si>
    <t xml:space="preserve">Q = junction count x (wall height / 1ft) / 4 x 0.61 m x 0.56 kg/m  × (1 + Wastage %)</t>
  </si>
  <si>
    <t xml:space="preserve">WALL_CL_LEN, COL</t>
  </si>
  <si>
    <t xml:space="preserve">Islamabad/Rawalpindi are seismic zone 2B (BCP SP-2007 Table 2.2).</t>
  </si>
  <si>
    <t xml:space="preserve">BCP-2021 masonry provisions</t>
  </si>
  <si>
    <t xml:space="preserve">COUNT(junctions)*H/1*0.25*0.34</t>
  </si>
  <si>
    <t xml:space="preserve">FRM-001</t>
  </si>
  <si>
    <t xml:space="preserve">Formwork &amp; Temporary Works</t>
  </si>
  <si>
    <t xml:space="preserve">Shuttering</t>
  </si>
  <si>
    <t xml:space="preserve">Steel shuttering plates (hire)</t>
  </si>
  <si>
    <t xml:space="preserve">Steel plates on props</t>
  </si>
  <si>
    <t xml:space="preserve">Slab &amp; beam soffits</t>
  </si>
  <si>
    <t xml:space="preserve">Q = Σ [WI qty × Recipe coefficient] × (1 + Wastage %)  — driven by WI-FW-01 (see Recipes)</t>
  </si>
  <si>
    <t xml:space="preserve">SLAB_AREA, BEAM</t>
  </si>
  <si>
    <t xml:space="preserve">Commonly hired per sft per cast in PK.</t>
  </si>
  <si>
    <t xml:space="preserve">WI-FW-01</t>
  </si>
  <si>
    <t xml:space="preserve">FORM-SLAB-01</t>
  </si>
  <si>
    <t xml:space="preserve">FRM-002</t>
  </si>
  <si>
    <t xml:space="preserve">Plywood (shuttering grade 12-18mm) / timber planks</t>
  </si>
  <si>
    <t xml:space="preserve">Film-faced or commercial ply</t>
  </si>
  <si>
    <t xml:space="preserve">Columns, footings, lintels, stairs, tanks</t>
  </si>
  <si>
    <t xml:space="preserve">Q = Σ [WI qty × Recipe coefficient] × (1 + Wastage %)  — driven by WI-FW-02 (see Recipes)</t>
  </si>
  <si>
    <t xml:space="preserve">Contact areas</t>
  </si>
  <si>
    <t xml:space="preserve">WI-FW-02</t>
  </si>
  <si>
    <t xml:space="preserve">W_WOOD_BOARD</t>
  </si>
  <si>
    <t xml:space="preserve">FORM-COL-01</t>
  </si>
  <si>
    <t xml:space="preserve">FRM-003</t>
  </si>
  <si>
    <t xml:space="preserve">Props</t>
  </si>
  <si>
    <t xml:space="preserve">Steel props / bamboo ballies (hire)</t>
  </si>
  <si>
    <t xml:space="preserve">Adjustable telescopic props</t>
  </si>
  <si>
    <t xml:space="preserve">Supporting slab formwork</t>
  </si>
  <si>
    <t xml:space="preserve">FRM-004</t>
  </si>
  <si>
    <t xml:space="preserve">Timber</t>
  </si>
  <si>
    <t xml:space="preserve">Timber battens / scantlings</t>
  </si>
  <si>
    <t xml:space="preserve">Kail/Partal 2x3in, 3x4in</t>
  </si>
  <si>
    <t xml:space="preserve">Formwork framing</t>
  </si>
  <si>
    <t xml:space="preserve">W_TIMBER</t>
  </si>
  <si>
    <t xml:space="preserve">FRM-005</t>
  </si>
  <si>
    <t xml:space="preserve">Consumables</t>
  </si>
  <si>
    <t xml:space="preserve">Nails (assorted)</t>
  </si>
  <si>
    <t xml:space="preserve">2-4in wire nails</t>
  </si>
  <si>
    <t xml:space="preserve">Formwork</t>
  </si>
  <si>
    <t xml:space="preserve">FRM-006</t>
  </si>
  <si>
    <t xml:space="preserve">Shuttering release oil</t>
  </si>
  <si>
    <t xml:space="preserve">Mould oil / used mobil oil</t>
  </si>
  <si>
    <t xml:space="preserve">Formwork faces</t>
  </si>
  <si>
    <t xml:space="preserve">Q = Σ [WI qty × Recipe coefficient] × (1 + Wastage %)  — driven by WI-FW-01, WI-FW-02 (see Recipes)</t>
  </si>
  <si>
    <t xml:space="preserve">Formwork area</t>
  </si>
  <si>
    <t xml:space="preserve">WI-FW-01, WI-FW-02</t>
  </si>
  <si>
    <t xml:space="preserve">FORM-COL-01, FORM-SLAB-01</t>
  </si>
  <si>
    <t xml:space="preserve">FRM-007</t>
  </si>
  <si>
    <t xml:space="preserve">Access</t>
  </si>
  <si>
    <t xml:space="preserve">Scaffolding (hire)</t>
  </si>
  <si>
    <t xml:space="preserve">Steel pipe/cup-lock or bamboo</t>
  </si>
  <si>
    <t xml:space="preserve">External plaster, paint, facade works</t>
  </si>
  <si>
    <t xml:space="preserve">Q = sum of elevation areas (sft-month of hire)</t>
  </si>
  <si>
    <t xml:space="preserve">FACADE_AREA</t>
  </si>
  <si>
    <t xml:space="preserve">AREA(facade)</t>
  </si>
  <si>
    <t xml:space="preserve">Elevations (sh.5-7, 11-13)</t>
  </si>
  <si>
    <t xml:space="preserve">FRM-008</t>
  </si>
  <si>
    <t xml:space="preserve">Polythene sheet over shuttering</t>
  </si>
  <si>
    <t xml:space="preserve">200-300 gauge</t>
  </si>
  <si>
    <t xml:space="preserve">Prevent slurry loss through plate joints</t>
  </si>
  <si>
    <t xml:space="preserve">MAS-001</t>
  </si>
  <si>
    <t xml:space="preserve">Masonry</t>
  </si>
  <si>
    <t xml:space="preserve">Clay bricks</t>
  </si>
  <si>
    <t xml:space="preserve">Burnt clay brick Class A ('Awwal') 9x4.5x3in nominal</t>
  </si>
  <si>
    <t xml:space="preserve">Well-burnt, metallic ring, absorption &lt;= 20%, strength per spec</t>
  </si>
  <si>
    <t xml:space="preserve">Foundation brickwork, 9in &amp; 4.5in walls, parapets, manholes, boundary wall</t>
  </si>
  <si>
    <t xml:space="preserve">Q = Σ [WI qty × Recipe coefficient] × (1 + Wastage %)  — driven by WI-MS-01, WI-MS-02, WI-MS-03, WI-MS-04, WI-PB-12, WI-PB-13, WI-EX-01 (see Recipes)</t>
  </si>
  <si>
    <t xml:space="preserve">WALL_CL_LEN, WALL_H, OPENINGS, FDN_SECTION</t>
  </si>
  <si>
    <t xml:space="preserve">Order per 1000. Measure actual brick size - it changes bricks/cft by ~5%.</t>
  </si>
  <si>
    <t xml:space="preserve">PS / ASTM C62 (ref)</t>
  </si>
  <si>
    <t xml:space="preserve">WI-MS-01, WI-MS-02, WI-MS-03, WI-MS-04, WI-PB-12, WI-PB-13, WI-EX-01</t>
  </si>
  <si>
    <t xml:space="preserve">W_BRICK</t>
  </si>
  <si>
    <t xml:space="preserve">sh.8-10, 14-15, 24</t>
  </si>
  <si>
    <t xml:space="preserve">FDN-MAS-01, MAS-01, WSD-01</t>
  </si>
  <si>
    <t xml:space="preserve">MAS-002</t>
  </si>
  <si>
    <t xml:space="preserve">Burnt clay brick Class B ('Doem') / over-burnt</t>
  </si>
  <si>
    <t xml:space="preserve">For soling &amp; non-structural fill</t>
  </si>
  <si>
    <t xml:space="preserve">Brick soling under floors</t>
  </si>
  <si>
    <t xml:space="preserve">Q = Σ [WI qty × Recipe coefficient] × (1 + Wastage %)  — driven by WI-MS-05 (see Recipes)</t>
  </si>
  <si>
    <t xml:space="preserve">Do not use for load-bearing walls.</t>
  </si>
  <si>
    <t xml:space="preserve">WI-MS-05</t>
  </si>
  <si>
    <t xml:space="preserve">GF-SOL-01</t>
  </si>
  <si>
    <t xml:space="preserve">MAS-003</t>
  </si>
  <si>
    <t xml:space="preserve">Clay tiles</t>
  </si>
  <si>
    <t xml:space="preserve">Burnt clay roof tiles 9x4.5x1.5in</t>
  </si>
  <si>
    <t xml:space="preserve">Machine-made, uniform</t>
  </si>
  <si>
    <t xml:space="preserve">Roof finishing over mud insulation</t>
  </si>
  <si>
    <t xml:space="preserve">Q = Σ [WI qty × Recipe coefficient] × (1 + Wastage %)  — driven by WI-WP-01 (see Recipes)</t>
  </si>
  <si>
    <t xml:space="preserve">ROOF_AREA</t>
  </si>
  <si>
    <t xml:space="preserve">WI-WP-01</t>
  </si>
  <si>
    <t xml:space="preserve">W_TILE_FLR</t>
  </si>
  <si>
    <t xml:space="preserve">S3</t>
  </si>
  <si>
    <t xml:space="preserve">ROOF-01</t>
  </si>
  <si>
    <t xml:space="preserve">MAS-004</t>
  </si>
  <si>
    <t xml:space="preserve">Blocks</t>
  </si>
  <si>
    <t xml:space="preserve">Hollow concrete block 8x8x16in (and 6in/4in)</t>
  </si>
  <si>
    <t xml:space="preserve">ASTM C90 load-bearing</t>
  </si>
  <si>
    <t xml:space="preserve">Alternative walling / boundary wall</t>
  </si>
  <si>
    <t xml:space="preserve">Q = Σ [WI qty × Recipe coefficient] × (1 + Wastage %)  — driven by WI-MS-06 (see Recipes)</t>
  </si>
  <si>
    <t xml:space="preserve">WALL_CL_LEN</t>
  </si>
  <si>
    <t xml:space="preserve">ASTM C90</t>
  </si>
  <si>
    <t xml:space="preserve">WI-MS-06</t>
  </si>
  <si>
    <t xml:space="preserve">W_BLOCK</t>
  </si>
  <si>
    <t xml:space="preserve">Alternative</t>
  </si>
  <si>
    <t xml:space="preserve">MAS-005</t>
  </si>
  <si>
    <t xml:space="preserve">AAC lightweight blocks</t>
  </si>
  <si>
    <t xml:space="preserve">600x200x100-200mm</t>
  </si>
  <si>
    <t xml:space="preserve">Partitions / upper-floor infill (reduces dead load)</t>
  </si>
  <si>
    <t xml:space="preserve">Q = wall area x thickness - openings, x (1 + w)</t>
  </si>
  <si>
    <t xml:space="preserve">Requires thin-bed adhesive (MAS-006).</t>
  </si>
  <si>
    <t xml:space="preserve">ASTM C1693</t>
  </si>
  <si>
    <t xml:space="preserve">AREA(wall)*t</t>
  </si>
  <si>
    <t xml:space="preserve">MAS-006</t>
  </si>
  <si>
    <t xml:space="preserve">Mortar</t>
  </si>
  <si>
    <t xml:space="preserve">Thin-bed block adhesive</t>
  </si>
  <si>
    <t xml:space="preserve">Polymer-modified</t>
  </si>
  <si>
    <t xml:space="preserve">AAC block laying</t>
  </si>
  <si>
    <t xml:space="preserve">Q = AAC wall area x manufacturer coverage rate (bags per sft for block thickness)  × (1 + Wastage %)</t>
  </si>
  <si>
    <t xml:space="preserve">Coverage per manufacturer - verify.</t>
  </si>
  <si>
    <t xml:space="preserve">AREA(aac)/coverage</t>
  </si>
  <si>
    <t xml:space="preserve">W_ADHESIVE</t>
  </si>
  <si>
    <t xml:space="preserve">MAS-009</t>
  </si>
  <si>
    <t xml:space="preserve">Reinforcement</t>
  </si>
  <si>
    <t xml:space="preserve">Hoop iron / GI strip bond</t>
  </si>
  <si>
    <t xml:space="preserve">22-24 SWG GI strip</t>
  </si>
  <si>
    <t xml:space="preserve">4.5in partitions tied every 4th course</t>
  </si>
  <si>
    <t xml:space="preserve">Q = 4.5in wall length x (height / 1ft x 1/4) courses x 0.03 kg/rft  × (1 + Wastage %)</t>
  </si>
  <si>
    <t xml:space="preserve">LEN(wall45)*H*0.25*0.03</t>
  </si>
  <si>
    <t xml:space="preserve">MAS-010</t>
  </si>
  <si>
    <t xml:space="preserve">Decorative</t>
  </si>
  <si>
    <t xml:space="preserve">Brick jali / ventilation blocks</t>
  </si>
  <si>
    <t xml:space="preserve">Terracotta/concrete</t>
  </si>
  <si>
    <t xml:space="preserve">Planter, boundary, stair ventilation</t>
  </si>
  <si>
    <t xml:space="preserve">Q = count from elevations  × (1 + Wastage %)</t>
  </si>
  <si>
    <t xml:space="preserve">ELEVATIONS</t>
  </si>
  <si>
    <t xml:space="preserve">External</t>
  </si>
  <si>
    <t xml:space="preserve">COUNT(jali)</t>
  </si>
  <si>
    <t xml:space="preserve">MAS-011</t>
  </si>
  <si>
    <t xml:space="preserve">Cladding</t>
  </si>
  <si>
    <t xml:space="preserve">Facing bricks / brick cladding tiles</t>
  </si>
  <si>
    <t xml:space="preserve">Split tiles 9x3x0.5in</t>
  </si>
  <si>
    <t xml:space="preserve">Front elevation feature cladding</t>
  </si>
  <si>
    <t xml:space="preserve">Q = cladding area from elevation x (1 + w)</t>
  </si>
  <si>
    <t xml:space="preserve">Elevation finishes not annotated in set - confirm.</t>
  </si>
  <si>
    <t xml:space="preserve">AREA(facade, finish=brick)</t>
  </si>
  <si>
    <t xml:space="preserve">W_TILE_WALL</t>
  </si>
  <si>
    <t xml:space="preserve">Elevations (sh.5, 11)</t>
  </si>
  <si>
    <t xml:space="preserve">MAS-012</t>
  </si>
  <si>
    <t xml:space="preserve">Natural stone cladding</t>
  </si>
  <si>
    <t xml:space="preserve">Stone 3/4in on adhesive/anchors</t>
  </si>
  <si>
    <t xml:space="preserve">Front elevation feature</t>
  </si>
  <si>
    <t xml:space="preserve">AREA(facade, finish=stone)</t>
  </si>
  <si>
    <t xml:space="preserve">W_MARBLE</t>
  </si>
  <si>
    <t xml:space="preserve">Elevations</t>
  </si>
  <si>
    <t xml:space="preserve">MAS-013</t>
  </si>
  <si>
    <t xml:space="preserve">Galvanised chicken wire mesh strip (6-9in)</t>
  </si>
  <si>
    <t xml:space="preserve">GI hexagonal 1in</t>
  </si>
  <si>
    <t xml:space="preserve">Across RCC/brick junctions and conduit chases before plaster</t>
  </si>
  <si>
    <t xml:space="preserve">Q = Σ [WI qty × Recipe coefficient] × (1 + Wastage %)  — driven by WI-MS-02, WI-PL-02 (see Recipes)</t>
  </si>
  <si>
    <t xml:space="preserve">Prevents the most common plaster crack in PK houses.</t>
  </si>
  <si>
    <t xml:space="preserve">WI-MS-02, WI-PL-02</t>
  </si>
  <si>
    <t xml:space="preserve">MAS-01, PLAS-02</t>
  </si>
  <si>
    <t xml:space="preserve">MAS-014</t>
  </si>
  <si>
    <t xml:space="preserve">Coping</t>
  </si>
  <si>
    <t xml:space="preserve">Parapet/boundary coping (precast or in-situ)</t>
  </si>
  <si>
    <t xml:space="preserve">RCC/marble/stone, with drip groove</t>
  </si>
  <si>
    <t xml:space="preserve">Top of parapets &amp; boundary walls</t>
  </si>
  <si>
    <t xml:space="preserve">Q = parapet length + boundary wall length  × (1 + Wastage %)</t>
  </si>
  <si>
    <t xml:space="preserve">ROOF_AREA, BOUNDARY_LEN</t>
  </si>
  <si>
    <t xml:space="preserve">LEN(parapet)+LEN(boundary)</t>
  </si>
  <si>
    <t xml:space="preserve">WPF-001</t>
  </si>
  <si>
    <t xml:space="preserve">Waterproofing, DPC &amp; Insulation</t>
  </si>
  <si>
    <t xml:space="preserve">Bituminous</t>
  </si>
  <si>
    <t xml:space="preserve">Bitumen (hot applied)</t>
  </si>
  <si>
    <t xml:space="preserve">Penetration grade 60/70 or blown 85/25</t>
  </si>
  <si>
    <t xml:space="preserve">DPC 2 coats (drawing), roof 2 coats</t>
  </si>
  <si>
    <t xml:space="preserve">Q = Σ [WI qty × Recipe coefficient] × (1 + Wastage %)  — driven by WI-CN-12, WI-WP-01 (see Recipes)</t>
  </si>
  <si>
    <t xml:space="preserve">WALL_CL_LEN(GF), ROOF_AREA</t>
  </si>
  <si>
    <t xml:space="preserve">Drums ~ 150-200 kg; fuel for heating.</t>
  </si>
  <si>
    <t xml:space="preserve">ASTM D946 / D312</t>
  </si>
  <si>
    <t xml:space="preserve">WI-CN-12, WI-WP-01</t>
  </si>
  <si>
    <t xml:space="preserve">W_BITUMEN</t>
  </si>
  <si>
    <t xml:space="preserve">S1,S3</t>
  </si>
  <si>
    <t xml:space="preserve">sh.14-15 DPC note</t>
  </si>
  <si>
    <t xml:space="preserve">DPC-01, ROOF-01</t>
  </si>
  <si>
    <t xml:space="preserve">WPF-002</t>
  </si>
  <si>
    <t xml:space="preserve">Bitumen primer (cut-back)</t>
  </si>
  <si>
    <t xml:space="preserve">Solvent-based primer</t>
  </si>
  <si>
    <t xml:space="preserve">gal</t>
  </si>
  <si>
    <t xml:space="preserve">Prime slab before bitumen/membrane</t>
  </si>
  <si>
    <t xml:space="preserve">ASTM D41</t>
  </si>
  <si>
    <t xml:space="preserve">W_PAINT</t>
  </si>
  <si>
    <t xml:space="preserve">WPF-003</t>
  </si>
  <si>
    <t xml:space="preserve">Polythene sheet (high-density)</t>
  </si>
  <si>
    <t xml:space="preserve">500-1000 gauge</t>
  </si>
  <si>
    <t xml:space="preserve">DPC double layer (drawing), roof, under floors</t>
  </si>
  <si>
    <t xml:space="preserve">Sold by kg/roll - convert with gauge (1000 gauge ~ 0.25 mm).</t>
  </si>
  <si>
    <t xml:space="preserve">sh.14-15</t>
  </si>
  <si>
    <t xml:space="preserve">WPF-004</t>
  </si>
  <si>
    <t xml:space="preserve">Cementitious</t>
  </si>
  <si>
    <t xml:space="preserve">Two-component cementitious waterproof coating</t>
  </si>
  <si>
    <t xml:space="preserve">Polymer-modified, flexible</t>
  </si>
  <si>
    <t xml:space="preserve">Bath/kitchen floors + 1ft upturn, shower walls, terraces, planters, tank interiors</t>
  </si>
  <si>
    <t xml:space="preserve">Q = Σ [WI qty × Recipe coefficient] × (1 + Wastage %)  — driven by WI-WP-03 (see Recipes)</t>
  </si>
  <si>
    <t xml:space="preserve">ROOM(wet), TERRACE_AREA</t>
  </si>
  <si>
    <t xml:space="preserve">Drawing set has no wet-area waterproofing spec - add.</t>
  </si>
  <si>
    <t xml:space="preserve">EN 14891</t>
  </si>
  <si>
    <t xml:space="preserve">WI-WP-03</t>
  </si>
  <si>
    <t xml:space="preserve">Plumbing plans (sh.21-22)</t>
  </si>
  <si>
    <t xml:space="preserve">WP-01</t>
  </si>
  <si>
    <t xml:space="preserve">WPF-005</t>
  </si>
  <si>
    <t xml:space="preserve">APP/SBS modified bitumen membrane 3-4 mm (torch-on)</t>
  </si>
  <si>
    <t xml:space="preserve">Polyester reinforced</t>
  </si>
  <si>
    <t xml:space="preserve">Premium roof waterproofing alternative</t>
  </si>
  <si>
    <t xml:space="preserve">Q = Σ [WI qty × Recipe coefficient] × (1 + Wastage %)  — driven by WI-WP-02 (see Recipes)</t>
  </si>
  <si>
    <t xml:space="preserve">Roll ~10 m2 (107.6 sft).</t>
  </si>
  <si>
    <t xml:space="preserve">ASTM D6222/6223</t>
  </si>
  <si>
    <t xml:space="preserve">WI-WP-02</t>
  </si>
  <si>
    <t xml:space="preserve">WPF-006</t>
  </si>
  <si>
    <t xml:space="preserve">Liquid</t>
  </si>
  <si>
    <t xml:space="preserve">Liquid PU / acrylic elastomeric roof coating</t>
  </si>
  <si>
    <t xml:space="preserve">UV-stable</t>
  </si>
  <si>
    <t xml:space="preserve">Over-coating roof/terraces</t>
  </si>
  <si>
    <t xml:space="preserve">Q = area x coverage (L/sft per coat) x coats  × (1 + Wastage %)</t>
  </si>
  <si>
    <t xml:space="preserve">AREA(roof)*cov*coats</t>
  </si>
  <si>
    <t xml:space="preserve">WPF-007</t>
  </si>
  <si>
    <t xml:space="preserve">Integral waterproofing compound (powder/liquid)</t>
  </si>
  <si>
    <t xml:space="preserve">e.g. 'Puddlo'-type per drawing</t>
  </si>
  <si>
    <t xml:space="preserve">DPC concrete, tank concrete &amp; plaster, manhole plaster</t>
  </si>
  <si>
    <t xml:space="preserve">Q = Σ [WI qty × Recipe coefficient] × (1 + Wastage %)  — driven by WI-CN-11, WI-CN-12, WI-PL-04 (see Recipes)</t>
  </si>
  <si>
    <t xml:space="preserve">Cement in DPC/tank items</t>
  </si>
  <si>
    <t xml:space="preserve">WI-CN-11, WI-CN-12, WI-PL-04</t>
  </si>
  <si>
    <t xml:space="preserve">sh.14, 16, 24 ('Puddlo')</t>
  </si>
  <si>
    <t xml:space="preserve">DPC-01</t>
  </si>
  <si>
    <t xml:space="preserve">WPF-008</t>
  </si>
  <si>
    <t xml:space="preserve">Insulation</t>
  </si>
  <si>
    <t xml:space="preserve">Roof thermal insulation board (EPS/XPS 1-2in)</t>
  </si>
  <si>
    <t xml:space="preserve">EPS 15-20 kg/m3 or XPS</t>
  </si>
  <si>
    <t xml:space="preserve">Roof insulation (energy code friendly alternative to mud)</t>
  </si>
  <si>
    <t xml:space="preserve">BCP Energy Provisions exist; XPS preferred under wet screeds.</t>
  </si>
  <si>
    <t xml:space="preserve">WPF-009</t>
  </si>
  <si>
    <t xml:space="preserve">Traditional</t>
  </si>
  <si>
    <t xml:space="preserve">Earth for roof insulation &amp; mud plaster</t>
  </si>
  <si>
    <t xml:space="preserve">Clayey earth, free of stones</t>
  </si>
  <si>
    <t xml:space="preserve">Traditional roof treatment 3-4in + 1in leeping</t>
  </si>
  <si>
    <t xml:space="preserve">Adds ~40-50 psf dead load - structural engineer must allow for it.</t>
  </si>
  <si>
    <t xml:space="preserve">WPF-010</t>
  </si>
  <si>
    <t xml:space="preserve">Straw (bhoosa) for mud plaster</t>
  </si>
  <si>
    <t xml:space="preserve">Wheat straw</t>
  </si>
  <si>
    <t xml:space="preserve">Mud plaster reinforcement</t>
  </si>
  <si>
    <t xml:space="preserve">WPF-011</t>
  </si>
  <si>
    <t xml:space="preserve">Joints</t>
  </si>
  <si>
    <t xml:space="preserve">PVC water stop 6in</t>
  </si>
  <si>
    <t xml:space="preserve">Dumb-bell/centre-bulb</t>
  </si>
  <si>
    <t xml:space="preserve">Construction joints in UG/septic tank walls</t>
  </si>
  <si>
    <t xml:space="preserve">Q = wall/base construction joint length (tank perimeter x lifts)  × (1 + Wastage %)</t>
  </si>
  <si>
    <t xml:space="preserve">TANK_UG, TANK_SEPTIC</t>
  </si>
  <si>
    <t xml:space="preserve">Plumbing</t>
  </si>
  <si>
    <t xml:space="preserve">LEN(tank.perimeter)*lifts</t>
  </si>
  <si>
    <t xml:space="preserve">sh.16</t>
  </si>
  <si>
    <t xml:space="preserve">WPF-012</t>
  </si>
  <si>
    <t xml:space="preserve">Sealants</t>
  </si>
  <si>
    <t xml:space="preserve">PU / polysulphide sealant</t>
  </si>
  <si>
    <t xml:space="preserve">Gun-grade, 600 ml sausage</t>
  </si>
  <si>
    <t xml:space="preserve">tube</t>
  </si>
  <si>
    <t xml:space="preserve">Expansion joints, pipe penetrations, window perimeters (external)</t>
  </si>
  <si>
    <t xml:space="preserve">Q = joint length / bead length per tube  × (1 + Wastage %)</t>
  </si>
  <si>
    <t xml:space="preserve">LEN(joints)/K_SIL_RFT_TUBE</t>
  </si>
  <si>
    <t xml:space="preserve">WPF-013</t>
  </si>
  <si>
    <t xml:space="preserve">Expansion joint filler board</t>
  </si>
  <si>
    <t xml:space="preserve">Bitumen-impregnated fibre board 3/4in</t>
  </si>
  <si>
    <t xml:space="preserve">Separation joints: porch slab, boundary wall, building/adjacent</t>
  </si>
  <si>
    <t xml:space="preserve">Q = length of separation joints  × (1 + Wastage %)</t>
  </si>
  <si>
    <t xml:space="preserve">Site plan</t>
  </si>
  <si>
    <t xml:space="preserve">LEN(exp_joints)</t>
  </si>
  <si>
    <t xml:space="preserve">WPF-014</t>
  </si>
  <si>
    <t xml:space="preserve">Fibreglass mesh for waterproofing corners</t>
  </si>
  <si>
    <t xml:space="preserve">Alkali-resistant</t>
  </si>
  <si>
    <t xml:space="preserve">Wall-floor junctions in wet areas</t>
  </si>
  <si>
    <t xml:space="preserve">Q = wet room perimeter + pipe penetrations x 1 rft  × (1 + Wastage %)</t>
  </si>
  <si>
    <t xml:space="preserve">ROOM(wet)</t>
  </si>
  <si>
    <t xml:space="preserve">SUM(wet.perim)</t>
  </si>
  <si>
    <t xml:space="preserve">PLS-001</t>
  </si>
  <si>
    <t xml:space="preserve">Plaster &amp; Screeds</t>
  </si>
  <si>
    <t xml:space="preserve">Corner beads (PVC/GI)</t>
  </si>
  <si>
    <t xml:space="preserve">Perforated angle bead</t>
  </si>
  <si>
    <t xml:space="preserve">External corners of walls, columns, window/door reveals</t>
  </si>
  <si>
    <t xml:space="preserve">Q = Σ [WI qty × Recipe coefficient] × (1 + Wastage %)  — driven by WI-PL-01, WI-PL-02 (see Recipes)</t>
  </si>
  <si>
    <t xml:space="preserve">ROOM, OPENINGS</t>
  </si>
  <si>
    <t xml:space="preserve">Better measured as corners x height when geometry available.</t>
  </si>
  <si>
    <t xml:space="preserve">WI-PL-01, WI-PL-02</t>
  </si>
  <si>
    <t xml:space="preserve">PLAS-01, PLAS-02</t>
  </si>
  <si>
    <t xml:space="preserve">PLS-002</t>
  </si>
  <si>
    <t xml:space="preserve">Expanded metal lath (EML)</t>
  </si>
  <si>
    <t xml:space="preserve">GI</t>
  </si>
  <si>
    <t xml:space="preserve">Over conduit/pipe chases</t>
  </si>
  <si>
    <t xml:space="preserve">Q = total concealed conduit + pipe length in walls x 1.0  × (1 + Wastage %)</t>
  </si>
  <si>
    <t xml:space="preserve">EL_POINTS, PB_FIXTURES</t>
  </si>
  <si>
    <t xml:space="preserve">LEN(conduit_in_walls)+LEN(pipes_in_walls)</t>
  </si>
  <si>
    <t xml:space="preserve">PLS-003</t>
  </si>
  <si>
    <t xml:space="preserve">Gypsum</t>
  </si>
  <si>
    <t xml:space="preserve">Gypsum plaster (internal alternative)</t>
  </si>
  <si>
    <t xml:space="preserve">Bag 25-40 kg; ~1 kg/m2/mm</t>
  </si>
  <si>
    <t xml:space="preserve">Internal walls/ceilings (faster, crack-resistant)</t>
  </si>
  <si>
    <t xml:space="preserve">Q = area x thickness(mm) x 1 kg/m2/mm / bag kg  × (1 + Wastage %)</t>
  </si>
  <si>
    <t xml:space="preserve">EN 13279</t>
  </si>
  <si>
    <t xml:space="preserve">AREA/10.764*t_mm/bag_kg</t>
  </si>
  <si>
    <t xml:space="preserve">PLS-004</t>
  </si>
  <si>
    <t xml:space="preserve">Plaster of Paris (POP)</t>
  </si>
  <si>
    <t xml:space="preserve">Bag</t>
  </si>
  <si>
    <t xml:space="preserve">Cornices, repairs, niches</t>
  </si>
  <si>
    <t xml:space="preserve">Q = cornice length x 0.1 bag/rft (allowance)  × (1 + Wastage %)</t>
  </si>
  <si>
    <t xml:space="preserve">LEN(cornice)*0.1</t>
  </si>
  <si>
    <t xml:space="preserve">PLS-005</t>
  </si>
  <si>
    <t xml:space="preserve">Additives</t>
  </si>
  <si>
    <t xml:space="preserve">Polypropylene micro-fibres</t>
  </si>
  <si>
    <t xml:space="preserve">12 mm fibres, 0.9 kg/m3</t>
  </si>
  <si>
    <t xml:space="preserve">Screeds, roof topping - crack control</t>
  </si>
  <si>
    <t xml:space="preserve">Q = Σ [WI qty × Recipe coefficient] × (1 + Wastage %)  — driven by WI-WP-04 (see Recipes)</t>
  </si>
  <si>
    <t xml:space="preserve">ROOF_AREA, ROOM(wet)</t>
  </si>
  <si>
    <t xml:space="preserve">WI-WP-04</t>
  </si>
  <si>
    <t xml:space="preserve">PLS-006</t>
  </si>
  <si>
    <t xml:space="preserve">Hardener</t>
  </si>
  <si>
    <t xml:space="preserve">Floor hardener (dry-shake)</t>
  </si>
  <si>
    <t xml:space="preserve">Non-metallic</t>
  </si>
  <si>
    <t xml:space="preserve">Porch / garage / store floors</t>
  </si>
  <si>
    <t xml:space="preserve">Q = area x 0.5 kg/sft (per manufacturer)  × (1 + Wastage %)</t>
  </si>
  <si>
    <t xml:space="preserve">PORCH</t>
  </si>
  <si>
    <t xml:space="preserve">AREA*0.5</t>
  </si>
  <si>
    <t xml:space="preserve">FLR-001</t>
  </si>
  <si>
    <t xml:space="preserve">Flooring &amp; Tiling</t>
  </si>
  <si>
    <t xml:space="preserve">Porcelain</t>
  </si>
  <si>
    <t xml:space="preserve">Porcelain floor tiles 24x24in (600x600mm)</t>
  </si>
  <si>
    <t xml:space="preserve">Glazed/polished, PEI III-IV, rectified</t>
  </si>
  <si>
    <t xml:space="preserve">Bedrooms, lounges, drawing, corridors</t>
  </si>
  <si>
    <t xml:space="preserve">Q = Σ [WI qty × Recipe coefficient] × (1 + Wastage %)  — driven by WI-FL-01 (see Recipes)</t>
  </si>
  <si>
    <t xml:space="preserve">ROOM (non-wet), Room_Finish_Defaults</t>
  </si>
  <si>
    <t xml:space="preserve">Buy in boxes (sft per box by size). Local: Master, Shabbir, Stile; imported Spanish/Chinese. Diagonal laying -&gt; use 12% wastage.</t>
  </si>
  <si>
    <t xml:space="preserve">ISO 13006</t>
  </si>
  <si>
    <t xml:space="preserve">WI-FL-01</t>
  </si>
  <si>
    <t xml:space="preserve">Room labels on plans (sh.2-3, 8-9)</t>
  </si>
  <si>
    <t xml:space="preserve">FLR-002</t>
  </si>
  <si>
    <t xml:space="preserve">Ceramic</t>
  </si>
  <si>
    <t xml:space="preserve">Ceramic anti-skid floor tiles 12x12 / 16x16in</t>
  </si>
  <si>
    <t xml:space="preserve">R10-R11 slip rating</t>
  </si>
  <si>
    <t xml:space="preserve">Baths, kitchen, laundry, terraces</t>
  </si>
  <si>
    <t xml:space="preserve">Q = Σ [WI qty × Recipe coefficient] × (1 + Wastage %)  — driven by WI-FL-02 (see Recipes)</t>
  </si>
  <si>
    <t xml:space="preserve">ROOM (wet)</t>
  </si>
  <si>
    <t xml:space="preserve">WI-FL-02</t>
  </si>
  <si>
    <t xml:space="preserve">sh.8-9</t>
  </si>
  <si>
    <t xml:space="preserve">FLR-003</t>
  </si>
  <si>
    <t xml:space="preserve">Wall tiles</t>
  </si>
  <si>
    <t xml:space="preserve">Ceramic/porcelain wall tiles 12x24in</t>
  </si>
  <si>
    <t xml:space="preserve">Glazed</t>
  </si>
  <si>
    <t xml:space="preserve">Bath walls (full height 8ft), kitchen backsplash (2-2.5ft above counter)</t>
  </si>
  <si>
    <t xml:space="preserve">Q = Σ [WI qty × Recipe coefficient] × (1 + Wastage %)  — driven by WI-FL-03 (see Recipes)</t>
  </si>
  <si>
    <t xml:space="preserve">ROOM (wet), Room_Finish_Defaults</t>
  </si>
  <si>
    <t xml:space="preserve">WI-FL-03</t>
  </si>
  <si>
    <t xml:space="preserve">sh.21-22 (fixtures)</t>
  </si>
  <si>
    <t xml:space="preserve">FLR-004</t>
  </si>
  <si>
    <t xml:space="preserve">Marble</t>
  </si>
  <si>
    <t xml:space="preserve">Marble flooring slabs/tiles 3/4in</t>
  </si>
  <si>
    <t xml:space="preserve">Local (Botticino, Sunny Grey, Verona, Ziarat) or imported</t>
  </si>
  <si>
    <t xml:space="preserve">Lobbies, stair landings, optional rooms</t>
  </si>
  <si>
    <t xml:space="preserve">FLR-005</t>
  </si>
  <si>
    <t xml:space="preserve">Granite</t>
  </si>
  <si>
    <t xml:space="preserve">Granite slab 3/4in</t>
  </si>
  <si>
    <t xml:space="preserve">Black/grey granite</t>
  </si>
  <si>
    <t xml:space="preserve">Thresholds, stair nosings (premium), counters</t>
  </si>
  <si>
    <t xml:space="preserve">Q = area from details x (1 + w)</t>
  </si>
  <si>
    <t xml:space="preserve">STAIR, KITCHEN</t>
  </si>
  <si>
    <t xml:space="preserve">AREA</t>
  </si>
  <si>
    <t xml:space="preserve">FLR-006</t>
  </si>
  <si>
    <t xml:space="preserve">Stairs</t>
  </si>
  <si>
    <t xml:space="preserve">Marble/granite for stair treads &amp; risers</t>
  </si>
  <si>
    <t xml:space="preserve">Treads 1.25in / risers 3/4in</t>
  </si>
  <si>
    <t xml:space="preserve">Staircase GF-FF-Mumty</t>
  </si>
  <si>
    <t xml:space="preserve">Q = Σ [WI qty × Recipe coefficient] × (1 + Wastage %)  — driven by WI-FL-06 (see Recipes)</t>
  </si>
  <si>
    <t xml:space="preserve">STAIR</t>
  </si>
  <si>
    <t xml:space="preserve">WI-FL-06</t>
  </si>
  <si>
    <t xml:space="preserve">sh.8-10 (stair UP/DN)</t>
  </si>
  <si>
    <t xml:space="preserve">FLR-007</t>
  </si>
  <si>
    <t xml:space="preserve">Skirting</t>
  </si>
  <si>
    <t xml:space="preserve">Skirting 4in (tile cut / marble strip)</t>
  </si>
  <si>
    <t xml:space="preserve">Matching floor</t>
  </si>
  <si>
    <t xml:space="preserve">All non-tiled-wall rooms</t>
  </si>
  <si>
    <t xml:space="preserve">Q = Σ [WI qty × Recipe coefficient] × (1 + Wastage %)  — driven by WI-FL-05 (see Recipes)</t>
  </si>
  <si>
    <t xml:space="preserve">ROOM, DOOR_SCHED</t>
  </si>
  <si>
    <t xml:space="preserve">WI-FL-05</t>
  </si>
  <si>
    <t xml:space="preserve">FLR-008</t>
  </si>
  <si>
    <t xml:space="preserve">Sills</t>
  </si>
  <si>
    <t xml:space="preserve">Marble window sills &amp; door thresholds</t>
  </si>
  <si>
    <t xml:space="preserve">3/4in, 6-9in deep</t>
  </si>
  <si>
    <t xml:space="preserve">Every window &amp; external door</t>
  </si>
  <si>
    <t xml:space="preserve">Q = Σ [WI qty × Recipe coefficient] × (1 + Wastage %)  — driven by WI-FL-08 (see Recipes)</t>
  </si>
  <si>
    <t xml:space="preserve">WIN_SCHED, DOOR_SCHED</t>
  </si>
  <si>
    <t xml:space="preserve">WI-FL-08</t>
  </si>
  <si>
    <t xml:space="preserve">sh.17-19</t>
  </si>
  <si>
    <t xml:space="preserve">FLR-010</t>
  </si>
  <si>
    <t xml:space="preserve">Adhesive</t>
  </si>
  <si>
    <t xml:space="preserve">Cement-based tile adhesive (C1/C2)</t>
  </si>
  <si>
    <t xml:space="preserve">20-25 kg bag</t>
  </si>
  <si>
    <t xml:space="preserve">Wall tiles, large-format tiles, skirting</t>
  </si>
  <si>
    <t xml:space="preserve">Q = Σ [WI qty × Recipe coefficient] × (1 + Wastage %)  — driven by WI-FL-03, WI-FL-05 (see Recipes)</t>
  </si>
  <si>
    <t xml:space="preserve">FLR-003 area</t>
  </si>
  <si>
    <t xml:space="preserve">If thin-bed method is also used for floors, switch WI-FL-01/02 recipe from mortar bed to adhesive.</t>
  </si>
  <si>
    <t xml:space="preserve">EN 12004</t>
  </si>
  <si>
    <t xml:space="preserve">WI-FL-03, WI-FL-05</t>
  </si>
  <si>
    <t xml:space="preserve">FLR-011</t>
  </si>
  <si>
    <t xml:space="preserve">Grout</t>
  </si>
  <si>
    <t xml:space="preserve">Tile grout (cementitious / epoxy)</t>
  </si>
  <si>
    <t xml:space="preserve">Sanded/unsanded; epoxy in wet areas (premium)</t>
  </si>
  <si>
    <t xml:space="preserve">All tile joints</t>
  </si>
  <si>
    <t xml:space="preserve">Q = Σ [WI qty × Recipe coefficient] × (1 + Wastage %)  — driven by WI-FL-01, WI-FL-02, WI-FL-03 (see Recipes)</t>
  </si>
  <si>
    <t xml:space="preserve">Tile areas</t>
  </si>
  <si>
    <t xml:space="preserve">EN 13888</t>
  </si>
  <si>
    <t xml:space="preserve">WI-FL-01, WI-FL-02, WI-FL-03</t>
  </si>
  <si>
    <t xml:space="preserve">W_GROUT</t>
  </si>
  <si>
    <t xml:space="preserve">FLR-012</t>
  </si>
  <si>
    <t xml:space="preserve">Tile spacers / levelling clips</t>
  </si>
  <si>
    <t xml:space="preserve">2-3 mm</t>
  </si>
  <si>
    <t xml:space="preserve">Tile laying</t>
  </si>
  <si>
    <t xml:space="preserve">FLR-013</t>
  </si>
  <si>
    <t xml:space="preserve">Trims</t>
  </si>
  <si>
    <t xml:space="preserve">Tile edge trims (aluminium/PVC)</t>
  </si>
  <si>
    <t xml:space="preserve">L/round profile</t>
  </si>
  <si>
    <t xml:space="preserve">External corners of tiled walls, niche edges</t>
  </si>
  <si>
    <t xml:space="preserve">Q = external corners x tile height + niches  × (1 + Wastage %)</t>
  </si>
  <si>
    <t xml:space="preserve">COUNT(corners)*tile_h</t>
  </si>
  <si>
    <t xml:space="preserve">FLR-014</t>
  </si>
  <si>
    <t xml:space="preserve">Finishing</t>
  </si>
  <si>
    <t xml:space="preserve">Marble grinding &amp; polishing (service + consumables)</t>
  </si>
  <si>
    <t xml:space="preserve">3-stage diamond, wax</t>
  </si>
  <si>
    <t xml:space="preserve">In-situ marble floors</t>
  </si>
  <si>
    <t xml:space="preserve">FLR-004 area</t>
  </si>
  <si>
    <t xml:space="preserve">FLR-015</t>
  </si>
  <si>
    <t xml:space="preserve">Terrazzo</t>
  </si>
  <si>
    <t xml:space="preserve">Terrazzo / chips flooring (economy alternative)</t>
  </si>
  <si>
    <t xml:space="preserve">Marble chips + grey/white cement + glass/brass strips</t>
  </si>
  <si>
    <t xml:space="preserve">Economy floors, store, stairs</t>
  </si>
  <si>
    <t xml:space="preserve">Q = area x (1 + w); chips 0.05 cft/sft, cement 0.05 bag/sft (allowance)</t>
  </si>
  <si>
    <t xml:space="preserve">FLR-016</t>
  </si>
  <si>
    <t xml:space="preserve">Wood/vinyl</t>
  </si>
  <si>
    <t xml:space="preserve">Laminate / engineered wood / SPC vinyl flooring + underlay</t>
  </si>
  <si>
    <t xml:space="preserve">AC4 laminate / SPC 4-5mm</t>
  </si>
  <si>
    <t xml:space="preserve">Premium bedrooms</t>
  </si>
  <si>
    <t xml:space="preserve">Q = room area x (1 + w) ; underlay = area; skirting = perimeter</t>
  </si>
  <si>
    <t xml:space="preserve">EN 13329</t>
  </si>
  <si>
    <t xml:space="preserve">AREA(room)</t>
  </si>
  <si>
    <t xml:space="preserve">Premium</t>
  </si>
  <si>
    <t xml:space="preserve">FLR-018</t>
  </si>
  <si>
    <t xml:space="preserve">Anti-slip stair nosing</t>
  </si>
  <si>
    <t xml:space="preserve">Aluminium/rubber insert</t>
  </si>
  <si>
    <t xml:space="preserve">Stair treads</t>
  </si>
  <si>
    <t xml:space="preserve">DWG-001</t>
  </si>
  <si>
    <t xml:space="preserve">Doors, Windows &amp; Glazing</t>
  </si>
  <si>
    <t xml:space="preserve">Frames</t>
  </si>
  <si>
    <t xml:space="preserve">Door frame (chogath) - solid seasoned hardwood</t>
  </si>
  <si>
    <t xml:space="preserve">Deodar/Kail/Ash, 5in single rebate or 10in double rebate x ~2.75in (drawing sh.20)</t>
  </si>
  <si>
    <t xml:space="preserve">All internal &amp; external doors (15 Nos in sample)</t>
  </si>
  <si>
    <t xml:space="preserve">Q = Σ [WI qty × Recipe coefficient] × (1 + Wastage %)  — driven by WI-DW-01 (see Recipes)</t>
  </si>
  <si>
    <t xml:space="preserve">DOOR_SCHED (W, H, count, rebate)</t>
  </si>
  <si>
    <t xml:space="preserve">Frames are fixed during masonry (S2) - early procurement item. Termite-treat timber.</t>
  </si>
  <si>
    <t xml:space="preserve">WI-DW-01</t>
  </si>
  <si>
    <t xml:space="preserve">Chogath schedule (sh.20)</t>
  </si>
  <si>
    <t xml:space="preserve">DOOR-01</t>
  </si>
  <si>
    <t xml:space="preserve">DWG-002</t>
  </si>
  <si>
    <t xml:space="preserve">Shutters</t>
  </si>
  <si>
    <t xml:space="preserve">Solid/semi-solid wood panel door shutter 1.75in</t>
  </si>
  <si>
    <t xml:space="preserve">Deodar/Ash panels, or solid core with veneer</t>
  </si>
  <si>
    <t xml:space="preserve">Main door, drawing door, bedroom doors</t>
  </si>
  <si>
    <t xml:space="preserve">Q = Σ [WI qty × Recipe coefficient] × (1 + Wastage %)  — driven by WI-DW-02 (see Recipes)</t>
  </si>
  <si>
    <t xml:space="preserve">DOOR_SCHED</t>
  </si>
  <si>
    <t xml:space="preserve">WI-DW-02</t>
  </si>
  <si>
    <t xml:space="preserve">sh.17-20</t>
  </si>
  <si>
    <t xml:space="preserve">DWG-003</t>
  </si>
  <si>
    <t xml:space="preserve">Flush door shutter (MDF/ply skin, veneer or laminate)</t>
  </si>
  <si>
    <t xml:space="preserve">Solid-core 1.5-1.75in</t>
  </si>
  <si>
    <t xml:space="preserve">Internal doors (economy/standard)</t>
  </si>
  <si>
    <t xml:space="preserve">Q = sum(door W x H) for flush-type doors  × (1 + Wastage %)</t>
  </si>
  <si>
    <t xml:space="preserve">SUM(door.W*door.H | type=flush)</t>
  </si>
  <si>
    <t xml:space="preserve">sh.20</t>
  </si>
  <si>
    <t xml:space="preserve">DWG-004</t>
  </si>
  <si>
    <t xml:space="preserve">Bathroom door (WPC/PVC/fibreglass)</t>
  </si>
  <si>
    <t xml:space="preserve">Water-resistant, with frame</t>
  </si>
  <si>
    <t xml:space="preserve">4 bath doors 2'-6"x7' (sh.20)</t>
  </si>
  <si>
    <t xml:space="preserve">Q = count of bath doors</t>
  </si>
  <si>
    <t xml:space="preserve">COUNT(door | type=bath)</t>
  </si>
  <si>
    <t xml:space="preserve">sh.20 (4 Nos)</t>
  </si>
  <si>
    <t xml:space="preserve">DWG-005</t>
  </si>
  <si>
    <t xml:space="preserve">Main entrance door (solid wood, double leaf)</t>
  </si>
  <si>
    <t xml:space="preserve">4'-6"x8' double (sh.20)</t>
  </si>
  <si>
    <t xml:space="preserve">Main entrance</t>
  </si>
  <si>
    <t xml:space="preserve">Q = count</t>
  </si>
  <si>
    <t xml:space="preserve">COUNT(door | type=main)</t>
  </si>
  <si>
    <t xml:space="preserve">sh.20 (1 No)</t>
  </si>
  <si>
    <t xml:space="preserve">DWG-006</t>
  </si>
  <si>
    <t xml:space="preserve">Hardware</t>
  </si>
  <si>
    <t xml:space="preserve">Door hardware set per leaf</t>
  </si>
  <si>
    <t xml:space="preserve">3-4 SS butt hinges 4in, mortise lock/cylinder, lever handles, 2 tower bolts, door stopper, (closer for main)</t>
  </si>
  <si>
    <t xml:space="preserve">set</t>
  </si>
  <si>
    <t xml:space="preserve">All door leaves</t>
  </si>
  <si>
    <t xml:space="preserve">Q = Σ [WI qty × Recipe coefficient] × (1 + Wastage %)  — driven by WI-DW-03 (see Recipes)</t>
  </si>
  <si>
    <t xml:space="preserve">DOOR_SCHED (leaves)</t>
  </si>
  <si>
    <t xml:space="preserve">Double doors = 2 leaves; add flush bolts.</t>
  </si>
  <si>
    <t xml:space="preserve">WI-DW-03</t>
  </si>
  <si>
    <t xml:space="preserve">S7</t>
  </si>
  <si>
    <t xml:space="preserve">DWG-007</t>
  </si>
  <si>
    <t xml:space="preserve">Hydraulic door closer</t>
  </si>
  <si>
    <t xml:space="preserve">Size 3-4</t>
  </si>
  <si>
    <t xml:space="preserve">Main door, mumty door</t>
  </si>
  <si>
    <t xml:space="preserve">Q = count of external doors</t>
  </si>
  <si>
    <t xml:space="preserve">EN 1154</t>
  </si>
  <si>
    <t xml:space="preserve">COUNT(door | external)</t>
  </si>
  <si>
    <t xml:space="preserve">DWG-008</t>
  </si>
  <si>
    <t xml:space="preserve">Fixings</t>
  </si>
  <si>
    <t xml:space="preserve">Holdfasts / MS clamps for frames</t>
  </si>
  <si>
    <t xml:space="preserve">MS flat 1x1/8in, 8-10in</t>
  </si>
  <si>
    <t xml:space="preserve">Frame anchoring (3 per jamb)</t>
  </si>
  <si>
    <t xml:space="preserve">DWG-009</t>
  </si>
  <si>
    <t xml:space="preserve">Windows</t>
  </si>
  <si>
    <t xml:space="preserve">Aluminium windows (sliding/casement/fixed)</t>
  </si>
  <si>
    <t xml:space="preserve">Powder-coated/anodized profile, 1.2-1.6 mm wall, EPDM gaskets</t>
  </si>
  <si>
    <t xml:space="preserve">All windows &amp; ventilators</t>
  </si>
  <si>
    <t xml:space="preserve">Q = Σ [WI qty × Recipe coefficient] × (1 + Wastage %)  — driven by WI-DW-04 (see Recipes)</t>
  </si>
  <si>
    <t xml:space="preserve">WIN_SCHED (W, H, type, count)</t>
  </si>
  <si>
    <t xml:space="preserve">Window widths are NOT scheduled in the set - measure from plan dimensions; confirm with architect.</t>
  </si>
  <si>
    <t xml:space="preserve">WI-DW-04</t>
  </si>
  <si>
    <t xml:space="preserve">W_ALU</t>
  </si>
  <si>
    <t xml:space="preserve">sh.17-19 (sill &amp; height only)</t>
  </si>
  <si>
    <t xml:space="preserve">WINDOW-01</t>
  </si>
  <si>
    <t xml:space="preserve">DWG-010</t>
  </si>
  <si>
    <t xml:space="preserve">uPVC windows (alternative)</t>
  </si>
  <si>
    <t xml:space="preserve">Multi-chamber, steel-reinforced</t>
  </si>
  <si>
    <t xml:space="preserve">Better thermal/acoustic performance</t>
  </si>
  <si>
    <t xml:space="preserve">Q = sum(window W x H) (replaces DWG-009)  × (1 + Wastage %)</t>
  </si>
  <si>
    <t xml:space="preserve">WIN_SCHED</t>
  </si>
  <si>
    <t xml:space="preserve">EN 12608</t>
  </si>
  <si>
    <t xml:space="preserve">SUM(win.W*win.H)</t>
  </si>
  <si>
    <t xml:space="preserve">DWG-011</t>
  </si>
  <si>
    <t xml:space="preserve">Glass</t>
  </si>
  <si>
    <t xml:space="preserve">Float glass 5-6 mm (clear/tinted/reflective/frosted)</t>
  </si>
  <si>
    <t xml:space="preserve">Frosted for baths; reflective for front</t>
  </si>
  <si>
    <t xml:space="preserve">Window glazing</t>
  </si>
  <si>
    <t xml:space="preserve">ASTM C1036</t>
  </si>
  <si>
    <t xml:space="preserve">W_GLASS</t>
  </si>
  <si>
    <t xml:space="preserve">DWG-012</t>
  </si>
  <si>
    <t xml:space="preserve">Tempered glass 10-12 mm</t>
  </si>
  <si>
    <t xml:space="preserve">Toughened, polished edges</t>
  </si>
  <si>
    <t xml:space="preserve">Stair/balcony balustrades, shower screens, full-height glazing</t>
  </si>
  <si>
    <t xml:space="preserve">Q = panel areas from details  × (1 + Wastage %)</t>
  </si>
  <si>
    <t xml:space="preserve">STAIR, BALCONY</t>
  </si>
  <si>
    <t xml:space="preserve">EN 12150</t>
  </si>
  <si>
    <t xml:space="preserve">AREA(glass_panels)</t>
  </si>
  <si>
    <t xml:space="preserve">sh.9 (balcony)</t>
  </si>
  <si>
    <t xml:space="preserve">DWG-013</t>
  </si>
  <si>
    <t xml:space="preserve">Security</t>
  </si>
  <si>
    <t xml:space="preserve">MS window grills</t>
  </si>
  <si>
    <t xml:space="preserve">1/2in square bar / flats, primed</t>
  </si>
  <si>
    <t xml:space="preserve">GF windows &amp; street-facing windows</t>
  </si>
  <si>
    <t xml:space="preserve">Q = Σ [WI qty × Recipe coefficient] × (1 + Wastage %)  — driven by WI-DW-05 (see Recipes)</t>
  </si>
  <si>
    <t xml:space="preserve">WIN_SCHED (grill flag)</t>
  </si>
  <si>
    <t xml:space="preserve">WI-DW-05</t>
  </si>
  <si>
    <t xml:space="preserve">DWG-014</t>
  </si>
  <si>
    <t xml:space="preserve">Screens</t>
  </si>
  <si>
    <t xml:space="preserve">Mosquito net with aluminium frame</t>
  </si>
  <si>
    <t xml:space="preserve">Fibreglass / SS mesh</t>
  </si>
  <si>
    <t xml:space="preserve">Openable window sashes</t>
  </si>
  <si>
    <t xml:space="preserve">DWG-015</t>
  </si>
  <si>
    <t xml:space="preserve">Ventilators</t>
  </si>
  <si>
    <t xml:space="preserve">Bath ventilator with louvre/frosted glass</t>
  </si>
  <si>
    <t xml:space="preserve">Sill 6'-0" per drawing</t>
  </si>
  <si>
    <t xml:space="preserve">Bath ventilators</t>
  </si>
  <si>
    <t xml:space="preserve">Q = sum(W x H) of ventilators (sill &gt;= 6ft)  × (1 + Wastage %)</t>
  </si>
  <si>
    <t xml:space="preserve">SUM(win.W*win.H | sill&gt;=6ft)</t>
  </si>
  <si>
    <t xml:space="preserve">sh.17-18 (sill 6'-0", H 3'-0" / 1'-6")</t>
  </si>
  <si>
    <t xml:space="preserve">DWG-016</t>
  </si>
  <si>
    <t xml:space="preserve">Silicone sealant (window perimeter)</t>
  </si>
  <si>
    <t xml:space="preserve">Neutral cure, 300 ml</t>
  </si>
  <si>
    <t xml:space="preserve">Window/frame perimeter both sides</t>
  </si>
  <si>
    <t xml:space="preserve">DWG-017</t>
  </si>
  <si>
    <t xml:space="preserve">Mumty/roof door (steel or WPC)</t>
  </si>
  <si>
    <t xml:space="preserve">3'x7' (sh.20)</t>
  </si>
  <si>
    <t xml:space="preserve">Mumty access door</t>
  </si>
  <si>
    <t xml:space="preserve">COUNT(door | type=mumty)</t>
  </si>
  <si>
    <t xml:space="preserve">sh.10, 20</t>
  </si>
  <si>
    <t xml:space="preserve">DWG-018</t>
  </si>
  <si>
    <t xml:space="preserve">Roller shutter / garage door</t>
  </si>
  <si>
    <t xml:space="preserve">Galvanised slats</t>
  </si>
  <si>
    <t xml:space="preserve">Porch/garage (optional)</t>
  </si>
  <si>
    <t xml:space="preserve">Q = W x H</t>
  </si>
  <si>
    <t xml:space="preserve">GATE</t>
  </si>
  <si>
    <t xml:space="preserve">AREA(opening)</t>
  </si>
  <si>
    <t xml:space="preserve">CLG-001</t>
  </si>
  <si>
    <t xml:space="preserve">Ceilings &amp; Partitions</t>
  </si>
  <si>
    <t xml:space="preserve">Gypsum board 12.5 mm (standard / MR in wet areas)</t>
  </si>
  <si>
    <t xml:space="preserve">4x8 ft boards</t>
  </si>
  <si>
    <t xml:space="preserve">False ceiling bulkheads / full ceilings</t>
  </si>
  <si>
    <t xml:space="preserve">Q = Σ [WI qty × Recipe coefficient] × (1 + Wastage %)  — driven by WI-CL-01 (see Recipes)</t>
  </si>
  <si>
    <t xml:space="preserve">ROOM, Room_Finish_Defaults (fc %)</t>
  </si>
  <si>
    <t xml:space="preserve">No reflected ceiling plans in set - false-ceiling % is a user/tier assumption.</t>
  </si>
  <si>
    <t xml:space="preserve">ASTM C1396</t>
  </si>
  <si>
    <t xml:space="preserve">WI-CL-01</t>
  </si>
  <si>
    <t xml:space="preserve">W_GYPSUM</t>
  </si>
  <si>
    <t xml:space="preserve">Not shown (no RCP)</t>
  </si>
  <si>
    <t xml:space="preserve">CLG-002</t>
  </si>
  <si>
    <t xml:space="preserve">Framing</t>
  </si>
  <si>
    <t xml:space="preserve">GI ceiling framing (main channel, furring, wall angle, hangers)</t>
  </si>
  <si>
    <t xml:space="preserve">0.5 mm GI</t>
  </si>
  <si>
    <t xml:space="preserve">False ceiling support</t>
  </si>
  <si>
    <t xml:space="preserve">CLG-003</t>
  </si>
  <si>
    <t xml:space="preserve">Panels</t>
  </si>
  <si>
    <t xml:space="preserve">PVC / aluminium ceiling panels</t>
  </si>
  <si>
    <t xml:space="preserve">Moisture-proof</t>
  </si>
  <si>
    <t xml:space="preserve">Bath/kitchen ceilings (conceals pipes)</t>
  </si>
  <si>
    <t xml:space="preserve">Q = wet room area x (1 + w)</t>
  </si>
  <si>
    <t xml:space="preserve">AREA(room | wet &amp; fc)</t>
  </si>
  <si>
    <t xml:space="preserve">CLG-004</t>
  </si>
  <si>
    <t xml:space="preserve">Joint tape &amp; jointing compound</t>
  </si>
  <si>
    <t xml:space="preserve">Paper/fibre tape</t>
  </si>
  <si>
    <t xml:space="preserve">Gypsum board joints</t>
  </si>
  <si>
    <t xml:space="preserve">CLG-001 area</t>
  </si>
  <si>
    <t xml:space="preserve">CLG-005</t>
  </si>
  <si>
    <t xml:space="preserve">Cornice</t>
  </si>
  <si>
    <t xml:space="preserve">Gypsum / POP cornice</t>
  </si>
  <si>
    <t xml:space="preserve">3-5in profile</t>
  </si>
  <si>
    <t xml:space="preserve">Room perimeters (drawing/lounge)</t>
  </si>
  <si>
    <t xml:space="preserve">Q = sum of perimeters of rooms with cornice  × (1 + Wastage %)</t>
  </si>
  <si>
    <t xml:space="preserve">SUM(room.perim | cornice)</t>
  </si>
  <si>
    <t xml:space="preserve">CLG-006</t>
  </si>
  <si>
    <t xml:space="preserve">Ceiling access panels</t>
  </si>
  <si>
    <t xml:space="preserve">600x600</t>
  </si>
  <si>
    <t xml:space="preserve">Access to concealed plumbing/AC</t>
  </si>
  <si>
    <t xml:space="preserve">Q = 1 per bath with false ceiling + 1 per ducted AC</t>
  </si>
  <si>
    <t xml:space="preserve">COUNT</t>
  </si>
  <si>
    <t xml:space="preserve">PNT-001</t>
  </si>
  <si>
    <t xml:space="preserve">Paints &amp; Coatings</t>
  </si>
  <si>
    <t xml:space="preserve">Preparation</t>
  </si>
  <si>
    <t xml:space="preserve">Wall putty (acrylic or cement-based)</t>
  </si>
  <si>
    <t xml:space="preserve">2 coats, sanded</t>
  </si>
  <si>
    <t xml:space="preserve">Internal walls &amp; ceilings</t>
  </si>
  <si>
    <t xml:space="preserve">Q = Σ [WI qty × Recipe coefficient] × (1 + Wastage %)  — driven by WI-PT-01, WI-PT-02 (see Recipes)</t>
  </si>
  <si>
    <t xml:space="preserve">WI-PL-01, WI-PL-03 areas</t>
  </si>
  <si>
    <t xml:space="preserve">Brands: ICI Dulux, Berger, Brighto, Diamond, Nippon, Master.</t>
  </si>
  <si>
    <t xml:space="preserve">WI-PT-01, WI-PT-02</t>
  </si>
  <si>
    <t xml:space="preserve">W_PUTTY</t>
  </si>
  <si>
    <t xml:space="preserve">PAINT-01, PAINT-03</t>
  </si>
  <si>
    <t xml:space="preserve">PNT-002</t>
  </si>
  <si>
    <t xml:space="preserve">Primer</t>
  </si>
  <si>
    <t xml:space="preserve">Alkali-resistant wall sealer/primer</t>
  </si>
  <si>
    <t xml:space="preserve">Water-based</t>
  </si>
  <si>
    <t xml:space="preserve">All plastered surfaces before finish</t>
  </si>
  <si>
    <t xml:space="preserve">Q = Σ [WI qty × Recipe coefficient] × (1 + Wastage %)  — driven by WI-PT-01, WI-PT-02, WI-PT-03 (see Recipes)</t>
  </si>
  <si>
    <t xml:space="preserve">Paint areas</t>
  </si>
  <si>
    <t xml:space="preserve">PK 'gallon' pack = 3.64 L (verify).</t>
  </si>
  <si>
    <t xml:space="preserve">WI-PT-01, WI-PT-02, WI-PT-03</t>
  </si>
  <si>
    <t xml:space="preserve">PAINT-01, PAINT-02, PAINT-03</t>
  </si>
  <si>
    <t xml:space="preserve">PNT-003</t>
  </si>
  <si>
    <t xml:space="preserve">Interior</t>
  </si>
  <si>
    <t xml:space="preserve">Plastic emulsion (interior matt/silk)</t>
  </si>
  <si>
    <t xml:space="preserve">Washable acrylic</t>
  </si>
  <si>
    <t xml:space="preserve">Internal walls</t>
  </si>
  <si>
    <t xml:space="preserve">Q = Σ [WI qty × Recipe coefficient] × (1 + Wastage %)  — driven by WI-PT-01 (see Recipes)</t>
  </si>
  <si>
    <t xml:space="preserve">WI-PT-01</t>
  </si>
  <si>
    <t xml:space="preserve">PAINT-01</t>
  </si>
  <si>
    <t xml:space="preserve">PNT-004</t>
  </si>
  <si>
    <t xml:space="preserve">Ceiling emulsion (flat white)</t>
  </si>
  <si>
    <t xml:space="preserve">Acrylic</t>
  </si>
  <si>
    <t xml:space="preserve">Ceilings</t>
  </si>
  <si>
    <t xml:space="preserve">Q = Σ [WI qty × Recipe coefficient] × (1 + Wastage %)  — driven by WI-PT-02 (see Recipes)</t>
  </si>
  <si>
    <t xml:space="preserve">WI-PT-02</t>
  </si>
  <si>
    <t xml:space="preserve">PAINT-03</t>
  </si>
  <si>
    <t xml:space="preserve">PNT-005</t>
  </si>
  <si>
    <t xml:space="preserve">Exterior</t>
  </si>
  <si>
    <t xml:space="preserve">Exterior weather-resistant emulsion</t>
  </si>
  <si>
    <t xml:space="preserve">Weathershield-type, UV/algae resistant</t>
  </si>
  <si>
    <t xml:space="preserve">Elevations, parapets, boundary wall</t>
  </si>
  <si>
    <t xml:space="preserve">Q = Σ [WI qty × Recipe coefficient] × (1 + Wastage %)  — driven by WI-PT-03 (see Recipes)</t>
  </si>
  <si>
    <t xml:space="preserve">WI-PT-03</t>
  </si>
  <si>
    <t xml:space="preserve">Elevations (sh.5-7)</t>
  </si>
  <si>
    <t xml:space="preserve">PAINT-02</t>
  </si>
  <si>
    <t xml:space="preserve">PNT-006</t>
  </si>
  <si>
    <t xml:space="preserve">Textured coating (roller/spray)</t>
  </si>
  <si>
    <t xml:space="preserve">Acrylic texture</t>
  </si>
  <si>
    <t xml:space="preserve">Elevation feature bands</t>
  </si>
  <si>
    <t xml:space="preserve">Q = textured area x K_TEXTURE_KG_SFT  × (1 + Wastage %)</t>
  </si>
  <si>
    <t xml:space="preserve">AREA(facade | texture)*K_TEXTURE_KG_SFT</t>
  </si>
  <si>
    <t xml:space="preserve">PNT-007</t>
  </si>
  <si>
    <t xml:space="preserve">Metal</t>
  </si>
  <si>
    <t xml:space="preserve">Synthetic enamel (gloss)</t>
  </si>
  <si>
    <t xml:space="preserve">Alkyd</t>
  </si>
  <si>
    <t xml:space="preserve">Grills, gate, MS railings</t>
  </si>
  <si>
    <t xml:space="preserve">Q = Σ [WI qty × Recipe coefficient] × (1 + Wastage %)  — driven by WI-PT-04 (see Recipes)</t>
  </si>
  <si>
    <t xml:space="preserve">WI-PT-04</t>
  </si>
  <si>
    <t xml:space="preserve">PNT-008</t>
  </si>
  <si>
    <t xml:space="preserve">Metal primer (red oxide / zinc chromate)</t>
  </si>
  <si>
    <t xml:space="preserve">Anti-corrosive</t>
  </si>
  <si>
    <t xml:space="preserve">All MS works before enamel</t>
  </si>
  <si>
    <t xml:space="preserve">PNT-009</t>
  </si>
  <si>
    <t xml:space="preserve">Wood</t>
  </si>
  <si>
    <t xml:space="preserve">Wood finish: sanding sealer + NC/PU lacquer or polish</t>
  </si>
  <si>
    <t xml:space="preserve">3 coats</t>
  </si>
  <si>
    <t xml:space="preserve">Door shutters &amp; frames</t>
  </si>
  <si>
    <t xml:space="preserve">Q = Σ [WI qty × Recipe coefficient] × (1 + Wastage %)  — driven by WI-PT-05 (see Recipes)</t>
  </si>
  <si>
    <t xml:space="preserve">WI-PT-05</t>
  </si>
  <si>
    <t xml:space="preserve">PNT-010</t>
  </si>
  <si>
    <t xml:space="preserve">Solvents</t>
  </si>
  <si>
    <t xml:space="preserve">Thinner (NC/synthetic)</t>
  </si>
  <si>
    <t xml:space="preserve">Enamel &amp; lacquer thinning, cleaning</t>
  </si>
  <si>
    <t xml:space="preserve">Q = Σ [WI qty × Recipe coefficient] × (1 + Wastage %)  — driven by WI-PT-04, WI-PT-05 (see Recipes)</t>
  </si>
  <si>
    <t xml:space="preserve">WI-PT-04, WI-PT-05</t>
  </si>
  <si>
    <t xml:space="preserve">PNT-011</t>
  </si>
  <si>
    <t xml:space="preserve">Sandpaper, masking tape, rollers, brushes</t>
  </si>
  <si>
    <t xml:space="preserve">Painting works</t>
  </si>
  <si>
    <t xml:space="preserve">Allowance ~2% of paint material cost</t>
  </si>
  <si>
    <t xml:space="preserve">PCT(paint_cost, 0.02)</t>
  </si>
  <si>
    <t xml:space="preserve">PNT-012</t>
  </si>
  <si>
    <t xml:space="preserve">Distemper (economy alternative)</t>
  </si>
  <si>
    <t xml:space="preserve">Oil-bound / dry</t>
  </si>
  <si>
    <t xml:space="preserve">Store, mumty, economy tier</t>
  </si>
  <si>
    <t xml:space="preserve">Q = area x coverage  × (1 + Wastage %)</t>
  </si>
  <si>
    <t xml:space="preserve">AREA*cov</t>
  </si>
  <si>
    <t xml:space="preserve">PNT-013</t>
  </si>
  <si>
    <t xml:space="preserve">Wood filler / knotting</t>
  </si>
  <si>
    <t xml:space="preserve">Door/frame preparation</t>
  </si>
  <si>
    <t xml:space="preserve">Q = wood finish area x 0.005 kg/sft  × (1 + Wastage %)</t>
  </si>
  <si>
    <t xml:space="preserve">AREA(wood)*0.005</t>
  </si>
  <si>
    <t xml:space="preserve">JNR-001</t>
  </si>
  <si>
    <t xml:space="preserve">Joinery &amp; Metalwork</t>
  </si>
  <si>
    <t xml:space="preserve">Wardrobes</t>
  </si>
  <si>
    <t xml:space="preserve">Wardrobe carcass board (melamine-faced MDF / particle board 18 mm)</t>
  </si>
  <si>
    <t xml:space="preserve">E1 emission, moisture-resistant</t>
  </si>
  <si>
    <t xml:space="preserve">Built-in wardrobes (3 Nos on FF, sh.3)</t>
  </si>
  <si>
    <t xml:space="preserve">Q = Σ [WI qty × Recipe coefficient] × (1 + Wastage %)  — driven by WI-JN-01 (see Recipes)</t>
  </si>
  <si>
    <t xml:space="preserve">WARDROBE (L x H)</t>
  </si>
  <si>
    <t xml:space="preserve">EN 312 / EN 622</t>
  </si>
  <si>
    <t xml:space="preserve">WI-JN-01</t>
  </si>
  <si>
    <t xml:space="preserve">Shown</t>
  </si>
  <si>
    <t xml:space="preserve">sh.3, 9 (WARDROBE)</t>
  </si>
  <si>
    <t xml:space="preserve">JNR-002</t>
  </si>
  <si>
    <t xml:space="preserve">Wardrobe shutters (laminate/lacquer MDF)</t>
  </si>
  <si>
    <t xml:space="preserve">18 mm</t>
  </si>
  <si>
    <t xml:space="preserve">Wardrobe fronts</t>
  </si>
  <si>
    <t xml:space="preserve">WARDROBE</t>
  </si>
  <si>
    <t xml:space="preserve">sh.3</t>
  </si>
  <si>
    <t xml:space="preserve">JNR-003</t>
  </si>
  <si>
    <t xml:space="preserve">Cabinet hardware (soft-close hinges, channels, handles, locks)</t>
  </si>
  <si>
    <t xml:space="preserve">Wardrobes, vanities</t>
  </si>
  <si>
    <t xml:space="preserve">JNR-004</t>
  </si>
  <si>
    <t xml:space="preserve">Vanity</t>
  </si>
  <si>
    <t xml:space="preserve">Bathroom vanity cabinet (PVC/WPC board)</t>
  </si>
  <si>
    <t xml:space="preserve">Waterproof carcass</t>
  </si>
  <si>
    <t xml:space="preserve">Under-basin vanity (shown in baths)</t>
  </si>
  <si>
    <t xml:space="preserve">Q = count of VANITY labels</t>
  </si>
  <si>
    <t xml:space="preserve">PB_FIXTURES</t>
  </si>
  <si>
    <t xml:space="preserve">COUNT(vanity)</t>
  </si>
  <si>
    <t xml:space="preserve">sh.21-22 (VANITY)</t>
  </si>
  <si>
    <t xml:space="preserve">JNR-005</t>
  </si>
  <si>
    <t xml:space="preserve">Railings</t>
  </si>
  <si>
    <t xml:space="preserve">Stair / balcony railing (SS 304, MS, or glass)</t>
  </si>
  <si>
    <t xml:space="preserve">36in high (42in on balconies recommended)</t>
  </si>
  <si>
    <t xml:space="preserve">Stairs, balconies, front/back terrace</t>
  </si>
  <si>
    <t xml:space="preserve">Q = Σ [WI qty × Recipe coefficient] × (1 + Wastage %)  — driven by WI-DW-06 (see Recipes)</t>
  </si>
  <si>
    <t xml:space="preserve">WI-DW-06</t>
  </si>
  <si>
    <t xml:space="preserve">sh.9 (balconies, terraces)</t>
  </si>
  <si>
    <t xml:space="preserve">JNR-007</t>
  </si>
  <si>
    <t xml:space="preserve">Gates</t>
  </si>
  <si>
    <t xml:space="preserve">Main gate (MS sheet + pipe frame, sliding/swing)</t>
  </si>
  <si>
    <t xml:space="preserve">16-18 SWG sheet on 2in pipe frame</t>
  </si>
  <si>
    <t xml:space="preserve">Porch gate (sh.2, 8)</t>
  </si>
  <si>
    <t xml:space="preserve">Q = Σ [WI qty × Recipe coefficient] × (1 + Wastage %)  — driven by WI-DW-07 (see Recipes)</t>
  </si>
  <si>
    <t xml:space="preserve">GATE (W x H)</t>
  </si>
  <si>
    <t xml:space="preserve">Motorised gate operator optional.</t>
  </si>
  <si>
    <t xml:space="preserve">WI-DW-07</t>
  </si>
  <si>
    <t xml:space="preserve">sh.8 (GATE ~11ft)</t>
  </si>
  <si>
    <t xml:space="preserve">JNR-008</t>
  </si>
  <si>
    <t xml:space="preserve">Panelling</t>
  </si>
  <si>
    <t xml:space="preserve">Wall panelling / feature wall</t>
  </si>
  <si>
    <t xml:space="preserve">WPC/MDF/fluted panels</t>
  </si>
  <si>
    <t xml:space="preserve">Lounge TV walls, bed back walls</t>
  </si>
  <si>
    <t xml:space="preserve">Q = panel area  × (1 + Wastage %)</t>
  </si>
  <si>
    <t xml:space="preserve">AREA(feature)</t>
  </si>
  <si>
    <t xml:space="preserve">JNR-009</t>
  </si>
  <si>
    <t xml:space="preserve">Curtain rods / blinds provision</t>
  </si>
  <si>
    <t xml:space="preserve">Q = sum(window W + 1ft)</t>
  </si>
  <si>
    <t xml:space="preserve">SUM(win.W+1)</t>
  </si>
  <si>
    <t xml:space="preserve">S9</t>
  </si>
  <si>
    <t xml:space="preserve">JNR-010</t>
  </si>
  <si>
    <t xml:space="preserve">Canopy</t>
  </si>
  <si>
    <t xml:space="preserve">Canopy / shade over mumty door or balcony</t>
  </si>
  <si>
    <t xml:space="preserve">MS frame + polycarbonate/RCC</t>
  </si>
  <si>
    <t xml:space="preserve">Weather protection</t>
  </si>
  <si>
    <t xml:space="preserve">Q = plan area  × (1 + Wastage %)</t>
  </si>
  <si>
    <t xml:space="preserve">KIT-001</t>
  </si>
  <si>
    <t xml:space="preserve">Kitchen</t>
  </si>
  <si>
    <t xml:space="preserve">Cabinets</t>
  </si>
  <si>
    <t xml:space="preserve">Kitchen base cabinet carcass (WPC/PVC foam board or HMR MDF 18mm)</t>
  </si>
  <si>
    <t xml:space="preserve">Water-resistant</t>
  </si>
  <si>
    <t xml:space="preserve">Base units (2 kitchens in sample: GF 8'-6"x9'-3", FF 12'x9'-6")</t>
  </si>
  <si>
    <t xml:space="preserve">Q = Σ [WI qty × Recipe coefficient] × (1 + Wastage %)  — driven by WI-KT-01 (see Recipes)</t>
  </si>
  <si>
    <t xml:space="preserve">ROOM (kitchen): counter run</t>
  </si>
  <si>
    <t xml:space="preserve">WI-KT-01</t>
  </si>
  <si>
    <t xml:space="preserve">sh.2-3</t>
  </si>
  <si>
    <t xml:space="preserve">KITCH-01</t>
  </si>
  <si>
    <t xml:space="preserve">KIT-002</t>
  </si>
  <si>
    <t xml:space="preserve">Kitchen wall cabinet carcass</t>
  </si>
  <si>
    <t xml:space="preserve">As above, 12-14in deep</t>
  </si>
  <si>
    <t xml:space="preserve">Wall units</t>
  </si>
  <si>
    <t xml:space="preserve">Q = Σ [WI qty × Recipe coefficient] × (1 + Wastage %)  — driven by WI-KT-02 (see Recipes)</t>
  </si>
  <si>
    <t xml:space="preserve">ROOM (kitchen)</t>
  </si>
  <si>
    <t xml:space="preserve">WI-KT-02</t>
  </si>
  <si>
    <t xml:space="preserve">KIT-003</t>
  </si>
  <si>
    <t xml:space="preserve">Cabinet shutters (acrylic / laminate / lacquer)</t>
  </si>
  <si>
    <t xml:space="preserve">Kitchen fronts</t>
  </si>
  <si>
    <t xml:space="preserve">Q = Σ [WI qty × Recipe coefficient] × (1 + Wastage %)  — driven by WI-KT-01, WI-KT-02 (see Recipes)</t>
  </si>
  <si>
    <t xml:space="preserve">WI-KT-01, WI-KT-02</t>
  </si>
  <si>
    <t xml:space="preserve">KIT-004</t>
  </si>
  <si>
    <t xml:space="preserve">Counter</t>
  </si>
  <si>
    <t xml:space="preserve">Countertop - granite 3/4in (or quartz)</t>
  </si>
  <si>
    <t xml:space="preserve">Polished, edge profiled, sink &amp; hob cut-outs</t>
  </si>
  <si>
    <t xml:space="preserve">Kitchen counter</t>
  </si>
  <si>
    <t xml:space="preserve">Q = Σ [WI qty × Recipe coefficient] × (1 + Wastage %)  — driven by WI-KT-03 (see Recipes)</t>
  </si>
  <si>
    <t xml:space="preserve">WI-KT-03</t>
  </si>
  <si>
    <t xml:space="preserve">KIT-005</t>
  </si>
  <si>
    <t xml:space="preserve">Sink</t>
  </si>
  <si>
    <t xml:space="preserve">Stainless steel sink (single/double bowl + drainboard)</t>
  </si>
  <si>
    <t xml:space="preserve">SS 304, 0.8-1 mm</t>
  </si>
  <si>
    <t xml:space="preserve">Q = Σ [WI qty × Recipe coefficient] × (1 + Wastage %)  — driven by WI-PB-07 (see Recipes)</t>
  </si>
  <si>
    <t xml:space="preserve">WI-PB-07</t>
  </si>
  <si>
    <t xml:space="preserve">sh.21-22</t>
  </si>
  <si>
    <t xml:space="preserve">KIT-006</t>
  </si>
  <si>
    <t xml:space="preserve">Sink mixer (hot &amp; cold)</t>
  </si>
  <si>
    <t xml:space="preserve">Chrome brass</t>
  </si>
  <si>
    <t xml:space="preserve">KIT-007</t>
  </si>
  <si>
    <t xml:space="preserve">Appliances</t>
  </si>
  <si>
    <t xml:space="preserve">Built-in hob (gas/LPG)</t>
  </si>
  <si>
    <t xml:space="preserve">3-5 burner, FFD</t>
  </si>
  <si>
    <t xml:space="preserve">Q = 1 per kitchen</t>
  </si>
  <si>
    <t xml:space="preserve">Often owner-supplied - keep as optional scope.</t>
  </si>
  <si>
    <t xml:space="preserve">COUNT(kitchen)</t>
  </si>
  <si>
    <t xml:space="preserve">sh.3 (FRIDGE &amp; OVEN)</t>
  </si>
  <si>
    <t xml:space="preserve">KIT-008</t>
  </si>
  <si>
    <t xml:space="preserve">Kitchen hood / chimney with 6in duct</t>
  </si>
  <si>
    <t xml:space="preserve">Kitchen exhaust</t>
  </si>
  <si>
    <t xml:space="preserve">Q = 1 per kitchen (+ duct rft = route length)</t>
  </si>
  <si>
    <t xml:space="preserve">Needs a wall/roof penetration planned before plaster.</t>
  </si>
  <si>
    <t xml:space="preserve">KIT-009</t>
  </si>
  <si>
    <t xml:space="preserve">Kitchen hardware (hinges, drawer runners, handles, baskets)</t>
  </si>
  <si>
    <t xml:space="preserve">Soft-close</t>
  </si>
  <si>
    <t xml:space="preserve">Kitchen cabinets</t>
  </si>
  <si>
    <t xml:space="preserve">Cabinet run</t>
  </si>
  <si>
    <t xml:space="preserve">KIT-010</t>
  </si>
  <si>
    <t xml:space="preserve">Built-in oven (FF kitchen shows 'FRIDGE &amp; OVEN')</t>
  </si>
  <si>
    <t xml:space="preserve">FF kitchen</t>
  </si>
  <si>
    <t xml:space="preserve">Q = count from plan labels</t>
  </si>
  <si>
    <t xml:space="preserve">COUNT(oven)</t>
  </si>
  <si>
    <t xml:space="preserve">sh.3, 9</t>
  </si>
  <si>
    <t xml:space="preserve">KIT-013</t>
  </si>
  <si>
    <t xml:space="preserve">PVC edge banding tape</t>
  </si>
  <si>
    <t xml:space="preserve">1-2 mm</t>
  </si>
  <si>
    <t xml:space="preserve">Board edges</t>
  </si>
  <si>
    <t xml:space="preserve">PWS-001</t>
  </si>
  <si>
    <t xml:space="preserve">Plumbing - Water Supply</t>
  </si>
  <si>
    <t xml:space="preserve">PPR pipes</t>
  </si>
  <si>
    <t xml:space="preserve">PPR pipe PN20, 20 mm OD (cold water branches)</t>
  </si>
  <si>
    <t xml:space="preserve">PP-R 80, 4 m lengths</t>
  </si>
  <si>
    <t xml:space="preserve">Fixture branch lines (CW)</t>
  </si>
  <si>
    <t xml:space="preserve">Q = Σ [WI qty × Recipe coefficient] × (1 + Wastage %)  — driven by WI-PB-01, WI-PB-02, WI-PB-03, WI-PB-04, WI-PB-07, WI-PB-08 (see Recipes)</t>
  </si>
  <si>
    <t xml:space="preserve">PB_FIXTURES / PB_PIPE_RUNS</t>
  </si>
  <si>
    <t xml:space="preserve">Brands: Dadex, Beta, AGS, Popular. Purchase in 4 m lengths - convert rft/13.12.</t>
  </si>
  <si>
    <t xml:space="preserve">DIN 8077/8078 (ISO 15874)</t>
  </si>
  <si>
    <t xml:space="preserve">WI-PB-01, WI-PB-02, WI-PB-03, WI-PB-04, WI-PB-07, WI-PB-08</t>
  </si>
  <si>
    <t xml:space="preserve">W_PIPE_PPR</t>
  </si>
  <si>
    <t xml:space="preserve">S4</t>
  </si>
  <si>
    <t xml:space="preserve">Plumbing notes sh.25: PPR PN20, fittings PN25</t>
  </si>
  <si>
    <t xml:space="preserve">KITCH-01, PLUMB-01</t>
  </si>
  <si>
    <t xml:space="preserve">PWS-002</t>
  </si>
  <si>
    <t xml:space="preserve">PPR pipe PN20, 25 mm OD</t>
  </si>
  <si>
    <t xml:space="preserve">Bath headers &amp; risers</t>
  </si>
  <si>
    <t xml:space="preserve">Q = Σ [WI qty × Recipe coefficient] × (1 + Wastage %)  — driven by WI-PB-06 (see Recipes)</t>
  </si>
  <si>
    <t xml:space="preserve">DIN 8077/8078</t>
  </si>
  <si>
    <t xml:space="preserve">WI-PB-06</t>
  </si>
  <si>
    <t xml:space="preserve">sh.25 schedule</t>
  </si>
  <si>
    <t xml:space="preserve">PWS-003</t>
  </si>
  <si>
    <t xml:space="preserve">PPR pipe PN20, 32 mm OD</t>
  </si>
  <si>
    <t xml:space="preserve">Floor distribution mains</t>
  </si>
  <si>
    <t xml:space="preserve">Q = main distribution route length per floor (measured) or 40 rft/floor allowance  × (1 + Wastage %)</t>
  </si>
  <si>
    <t xml:space="preserve">PB_PIPE_RUNS, N_FLOORS</t>
  </si>
  <si>
    <t xml:space="preserve">LEN(pb.main_32) or 40*N_FLOORS</t>
  </si>
  <si>
    <t xml:space="preserve">sh.25</t>
  </si>
  <si>
    <t xml:space="preserve">PWS-004</t>
  </si>
  <si>
    <t xml:space="preserve">PPR pipe PN20, 40/50/63/75 mm OD</t>
  </si>
  <si>
    <t xml:space="preserve">Per drawing: 75 CW to OHWT, 63 CW, 50 NPCW, 50 HW, 40 RCHW</t>
  </si>
  <si>
    <t xml:space="preserve">Tank-to-tank rising main, down-takes from OH tank</t>
  </si>
  <si>
    <t xml:space="preserve">Q = building height + horizontal runs per size (measured from riser diagram)  × (1 + Wastage %)</t>
  </si>
  <si>
    <t xml:space="preserve">PB_PIPE_RUNS, H_total</t>
  </si>
  <si>
    <t xml:space="preserve">LEN(pb.riser_by_dia)</t>
  </si>
  <si>
    <t xml:space="preserve">sh.26 (riser legend)</t>
  </si>
  <si>
    <t xml:space="preserve">PWS-005</t>
  </si>
  <si>
    <t xml:space="preserve">PPR pipe for hot water (PN20/PN25 or fibre-composite) 20-25 mm</t>
  </si>
  <si>
    <t xml:space="preserve">Hot-water rated</t>
  </si>
  <si>
    <t xml:space="preserve">HW branches to basins, showers, kitchen</t>
  </si>
  <si>
    <t xml:space="preserve">Q = Σ [WI qty × Recipe coefficient] × (1 + Wastage %)  — driven by WI-PB-02, WI-PB-03, WI-PB-07 (see Recipes)</t>
  </si>
  <si>
    <t xml:space="preserve">Consider PN25/fibre-composite for HW even though drawing notes PN20.</t>
  </si>
  <si>
    <t xml:space="preserve">WI-PB-02, WI-PB-03, WI-PB-07</t>
  </si>
  <si>
    <t xml:space="preserve">sh.25 (H.W legend)</t>
  </si>
  <si>
    <t xml:space="preserve">PWS-006</t>
  </si>
  <si>
    <t xml:space="preserve">PPR fittings</t>
  </si>
  <si>
    <t xml:space="preserve">PPR fittings PN25 (elbows, tees, sockets, reducers)</t>
  </si>
  <si>
    <t xml:space="preserve">Socket-fusion</t>
  </si>
  <si>
    <t xml:space="preserve">All PPR runs</t>
  </si>
  <si>
    <t xml:space="preserve">Q = Σ [WI qty × Recipe coefficient] × (1 + Wastage %)  — driven by WI-PB-01, WI-PB-02, WI-PB-03 (see Recipes)</t>
  </si>
  <si>
    <t xml:space="preserve">DIN 16962</t>
  </si>
  <si>
    <t xml:space="preserve">WI-PB-01, WI-PB-02, WI-PB-03</t>
  </si>
  <si>
    <t xml:space="preserve">W_FITTINGS</t>
  </si>
  <si>
    <t xml:space="preserve">sh.25 note (PN25 fittings)</t>
  </si>
  <si>
    <t xml:space="preserve">PLUMB-01</t>
  </si>
  <si>
    <t xml:space="preserve">PWS-007</t>
  </si>
  <si>
    <t xml:space="preserve">PPR MTA/FTA threaded adaptors (brass insert)</t>
  </si>
  <si>
    <t xml:space="preserve">1/2in, 3/4in</t>
  </si>
  <si>
    <t xml:space="preserve">Fixture connection points</t>
  </si>
  <si>
    <t xml:space="preserve">Q = 1 per CW/HW outlet (basin 2, shower 3, WC 1, HF 1, sink 2, WM 1)  × (1 + Wastage %)</t>
  </si>
  <si>
    <t xml:space="preserve">SUM(fixture.outlets)</t>
  </si>
  <si>
    <t xml:space="preserve">PWS-008</t>
  </si>
  <si>
    <t xml:space="preserve">Valves</t>
  </si>
  <si>
    <t xml:space="preserve">PPR/brass ball &amp; gate valves (isolation)</t>
  </si>
  <si>
    <t xml:space="preserve">PN16+</t>
  </si>
  <si>
    <t xml:space="preserve">Isolation at every wall entry (drawing note), pump, tank outlets</t>
  </si>
  <si>
    <t xml:space="preserve">ROOM (bath/kitchen), PB legend</t>
  </si>
  <si>
    <t xml:space="preserve">sh.25 note 4; sh.26 gate valve detail</t>
  </si>
  <si>
    <t xml:space="preserve">PWS-009</t>
  </si>
  <si>
    <t xml:space="preserve">Concealed stop-cock (chrome)</t>
  </si>
  <si>
    <t xml:space="preserve">Bath inlets</t>
  </si>
  <si>
    <t xml:space="preserve">Q = 2 per bathroom (CW, HW)</t>
  </si>
  <si>
    <t xml:space="preserve">ROOM (bath)</t>
  </si>
  <si>
    <t xml:space="preserve">COUNT(bath)*2</t>
  </si>
  <si>
    <t xml:space="preserve">PWS-010</t>
  </si>
  <si>
    <t xml:space="preserve">Check (non-return) valve</t>
  </si>
  <si>
    <t xml:space="preserve">Brass</t>
  </si>
  <si>
    <t xml:space="preserve">Pump discharge (legend)</t>
  </si>
  <si>
    <t xml:space="preserve">Q = 1 per pump</t>
  </si>
  <si>
    <t xml:space="preserve">PB legend</t>
  </si>
  <si>
    <t xml:space="preserve">COUNT(pump)</t>
  </si>
  <si>
    <t xml:space="preserve">sh.25 legend</t>
  </si>
  <si>
    <t xml:space="preserve">PWS-011</t>
  </si>
  <si>
    <t xml:space="preserve">Float valve (ball-cock) / level controller</t>
  </si>
  <si>
    <t xml:space="preserve">Brass float + electronic level switch for pump</t>
  </si>
  <si>
    <t xml:space="preserve">UG tank inlet, OH tank inlet; automatic pump control</t>
  </si>
  <si>
    <t xml:space="preserve">Q = 1 per tank + 1 level controller</t>
  </si>
  <si>
    <t xml:space="preserve">TANK_UG, TANK_OH</t>
  </si>
  <si>
    <t xml:space="preserve">COUNT(tank)+1</t>
  </si>
  <si>
    <t xml:space="preserve">PWS-012</t>
  </si>
  <si>
    <t xml:space="preserve">Service</t>
  </si>
  <si>
    <t xml:space="preserve">Water meter &amp; service connection (CDA/WASA)</t>
  </si>
  <si>
    <t xml:space="preserve">Per utility</t>
  </si>
  <si>
    <t xml:space="preserve">Street connection</t>
  </si>
  <si>
    <t xml:space="preserve">Q = 1</t>
  </si>
  <si>
    <t xml:space="preserve">SITE</t>
  </si>
  <si>
    <t xml:space="preserve">Utility fees - statutory.</t>
  </si>
  <si>
    <t xml:space="preserve">1</t>
  </si>
  <si>
    <t xml:space="preserve">PWS-013</t>
  </si>
  <si>
    <t xml:space="preserve">Pumps</t>
  </si>
  <si>
    <t xml:space="preserve">Booster/pressure pump 0.5-1 HP with pressure tank</t>
  </si>
  <si>
    <t xml:space="preserve">Shown in legend</t>
  </si>
  <si>
    <t xml:space="preserve">Boosting pressure to showers (low head in 2-storey)</t>
  </si>
  <si>
    <t xml:space="preserve">Q = 1 per house (if shown)</t>
  </si>
  <si>
    <t xml:space="preserve">COUNT(booster)</t>
  </si>
  <si>
    <t xml:space="preserve">PWS-014</t>
  </si>
  <si>
    <t xml:space="preserve">Lift pump/motor 1 HP (UG tank -&gt; OH tank)</t>
  </si>
  <si>
    <t xml:space="preserve">Centrifugal/monoblock</t>
  </si>
  <si>
    <t xml:space="preserve">Transfer pump</t>
  </si>
  <si>
    <t xml:space="preserve">Q = 1 (+1 standby recommended)</t>
  </si>
  <si>
    <t xml:space="preserve">sh.16 (UG tank)</t>
  </si>
  <si>
    <t xml:space="preserve">PWS-015</t>
  </si>
  <si>
    <t xml:space="preserve">Source</t>
  </si>
  <si>
    <t xml:space="preserve">Bore / submersible pump (if no municipal supply)</t>
  </si>
  <si>
    <t xml:space="preserve">Depth per area; legend shows submersible</t>
  </si>
  <si>
    <t xml:space="preserve">Private water source</t>
  </si>
  <si>
    <t xml:space="preserve">Q = bore depth (rft) + 1 pump + riser pipe = depth</t>
  </si>
  <si>
    <t xml:space="preserve">Site conditions</t>
  </si>
  <si>
    <t xml:space="preserve">Groundwater permission may be required in ICT.</t>
  </si>
  <si>
    <t xml:space="preserve">depth</t>
  </si>
  <si>
    <t xml:space="preserve">PWS-016</t>
  </si>
  <si>
    <t xml:space="preserve">Storage</t>
  </si>
  <si>
    <t xml:space="preserve">Overhead water tank 600 gal FG/plastic with GRP cover</t>
  </si>
  <si>
    <t xml:space="preserve">Food-grade</t>
  </si>
  <si>
    <t xml:space="preserve">Roof storage (drawing: 600 GAL FG TANK)</t>
  </si>
  <si>
    <t xml:space="preserve">Q = count; capacity = persons x 50 gal/day x 1-1.5 days</t>
  </si>
  <si>
    <t xml:space="preserve">TANK_OH</t>
  </si>
  <si>
    <t xml:space="preserve">Sheet 16 also shows an RCC OHWT detail - confirm which is used.</t>
  </si>
  <si>
    <t xml:space="preserve">COUNT(OHWT)</t>
  </si>
  <si>
    <t xml:space="preserve">Mumty plumbing (sh.23)</t>
  </si>
  <si>
    <t xml:space="preserve">PWS-017</t>
  </si>
  <si>
    <t xml:space="preserve">Pipe insulation (glass wool with cladding / nitrile foam)</t>
  </si>
  <si>
    <t xml:space="preserve">13-19 mm</t>
  </si>
  <si>
    <t xml:space="preserve">Exposed HW pipes &amp; CW at roof (drawing note)</t>
  </si>
  <si>
    <t xml:space="preserve">Q = exposed HW length + roof CW length  × (1 + Wastage %)</t>
  </si>
  <si>
    <t xml:space="preserve">PB_PIPE_RUNS</t>
  </si>
  <si>
    <t xml:space="preserve">LEN(exposed_hw)+LEN(roof_cw)</t>
  </si>
  <si>
    <t xml:space="preserve">sh.25 note</t>
  </si>
  <si>
    <t xml:space="preserve">PWS-018</t>
  </si>
  <si>
    <t xml:space="preserve">Supports</t>
  </si>
  <si>
    <t xml:space="preserve">Pipe clamps / saddles / hangers</t>
  </si>
  <si>
    <t xml:space="preserve">PP/GI</t>
  </si>
  <si>
    <t xml:space="preserve">All exposed &amp; shaft runs</t>
  </si>
  <si>
    <t xml:space="preserve">sh.26 (hanging pipe detail)</t>
  </si>
  <si>
    <t xml:space="preserve">PWS-019</t>
  </si>
  <si>
    <t xml:space="preserve">PTFE tape, thread sealant, fusion consumables</t>
  </si>
  <si>
    <t xml:space="preserve">Threaded joints</t>
  </si>
  <si>
    <t xml:space="preserve">Allowance 1% of plumbing material cost</t>
  </si>
  <si>
    <t xml:space="preserve">PCT(pb_cost,0.01)</t>
  </si>
  <si>
    <t xml:space="preserve">PWS-020</t>
  </si>
  <si>
    <t xml:space="preserve">Air relief valve (ARV)</t>
  </si>
  <si>
    <t xml:space="preserve">High points of rising main</t>
  </si>
  <si>
    <t xml:space="preserve">Q = count from riser diagram</t>
  </si>
  <si>
    <t xml:space="preserve">COUNT(ARV)</t>
  </si>
  <si>
    <t xml:space="preserve">PWS-021</t>
  </si>
  <si>
    <t xml:space="preserve">Hot-water recirculation pump</t>
  </si>
  <si>
    <t xml:space="preserve">Legend: R.H.W &amp; re-circulation pump</t>
  </si>
  <si>
    <t xml:space="preserve">Instant hot water at far fixtures</t>
  </si>
  <si>
    <t xml:space="preserve">Q = 1 if R.H.W shown</t>
  </si>
  <si>
    <t xml:space="preserve">COUNT(recirc)</t>
  </si>
  <si>
    <t xml:space="preserve">sh.25-26 (40 R.C.H.W)</t>
  </si>
  <si>
    <t xml:space="preserve">PWS-022</t>
  </si>
  <si>
    <t xml:space="preserve">Water heating</t>
  </si>
  <si>
    <t xml:space="preserve">Water heater / geyser (gas, electric, instant or hybrid)</t>
  </si>
  <si>
    <t xml:space="preserve">Capacity 15-35 gal</t>
  </si>
  <si>
    <t xml:space="preserve">Hot water supply</t>
  </si>
  <si>
    <t xml:space="preserve">Q = count of geyser/water-heater symbols (typ. 1 per floor or per bath group)</t>
  </si>
  <si>
    <t xml:space="preserve">PB legend, EL symbols</t>
  </si>
  <si>
    <t xml:space="preserve">COUNT(geyser)</t>
  </si>
  <si>
    <t xml:space="preserve">sh.25 legend, sh.31 symbols</t>
  </si>
  <si>
    <t xml:space="preserve">PWS-023</t>
  </si>
  <si>
    <t xml:space="preserve">Main service pipe (street -&gt; UG tank) HDPE/PPR 25-32 mm</t>
  </si>
  <si>
    <t xml:space="preserve">PN16</t>
  </si>
  <si>
    <t xml:space="preserve">Municipal connection</t>
  </si>
  <si>
    <t xml:space="preserve">Q = distance from street to UG tank  × (1 + Wastage %)</t>
  </si>
  <si>
    <t xml:space="preserve">LEN(service)</t>
  </si>
  <si>
    <t xml:space="preserve">sh.1</t>
  </si>
  <si>
    <t xml:space="preserve">PWS-024</t>
  </si>
  <si>
    <t xml:space="preserve">Sleeves</t>
  </si>
  <si>
    <t xml:space="preserve">Pipe sleeves at wall/slab penetrations</t>
  </si>
  <si>
    <t xml:space="preserve">uPVC/GI one size larger</t>
  </si>
  <si>
    <t xml:space="preserve">All penetrations (drawing note)</t>
  </si>
  <si>
    <t xml:space="preserve">Q = number of slab/wall penetrations (~4 per bath stack + 2 per kitchen)  × (1 + Wastage %)</t>
  </si>
  <si>
    <t xml:space="preserve">Must be placed before slab casting - flag in procurement schedule.</t>
  </si>
  <si>
    <t xml:space="preserve">COUNT(penetrations)</t>
  </si>
  <si>
    <t xml:space="preserve">PDR-001</t>
  </si>
  <si>
    <t xml:space="preserve">Plumbing - Drainage &amp; Sanitary</t>
  </si>
  <si>
    <t xml:space="preserve">Soil pipe</t>
  </si>
  <si>
    <t xml:space="preserve">uPVC soil pipe 4in (110 mm)</t>
  </si>
  <si>
    <t xml:space="preserve">Type-B non-pressure</t>
  </si>
  <si>
    <t xml:space="preserve">WC connections, soil stacks</t>
  </si>
  <si>
    <t xml:space="preserve">Q = Σ [WI qty × Recipe coefficient] × (1 + Wastage %)  — driven by WI-PB-01 (see Recipes)</t>
  </si>
  <si>
    <t xml:space="preserve">PB_FIXTURES (WC count), floors</t>
  </si>
  <si>
    <t xml:space="preserve">Sold in 10/13 ft lengths - round up per run. Brands: Beta, Dadex, Popular, Adamjee.</t>
  </si>
  <si>
    <t xml:space="preserve">ISO 3633:2002 (drawing)</t>
  </si>
  <si>
    <t xml:space="preserve">WI-PB-01</t>
  </si>
  <si>
    <t xml:space="preserve">W_PIPE_UPVC</t>
  </si>
  <si>
    <t xml:space="preserve">sh.24-26</t>
  </si>
  <si>
    <t xml:space="preserve">PDR-002</t>
  </si>
  <si>
    <t xml:space="preserve">Waste pipe</t>
  </si>
  <si>
    <t xml:space="preserve">uPVC waste pipe 3in (90 mm)</t>
  </si>
  <si>
    <t xml:space="preserve">Type-B</t>
  </si>
  <si>
    <t xml:space="preserve">Floor trap &amp; kitchen waste</t>
  </si>
  <si>
    <t xml:space="preserve">Q = Σ [WI qty × Recipe coefficient] × (1 + Wastage %)  — driven by WI-PB-05, WI-PB-07 (see Recipes)</t>
  </si>
  <si>
    <t xml:space="preserve">PB_FIXTURES (FT, KS)</t>
  </si>
  <si>
    <t xml:space="preserve">ISO 3633:2002</t>
  </si>
  <si>
    <t xml:space="preserve">WI-PB-05, WI-PB-07</t>
  </si>
  <si>
    <t xml:space="preserve">PDR-003</t>
  </si>
  <si>
    <t xml:space="preserve">uPVC waste pipe 2in (50/63 mm)</t>
  </si>
  <si>
    <t xml:space="preserve">Basin/vanity branches, AC drain</t>
  </si>
  <si>
    <t xml:space="preserve">Q = Σ [WI qty × Recipe coefficient] × (1 + Wastage %)  — driven by WI-PB-02 (see Recipes)</t>
  </si>
  <si>
    <t xml:space="preserve">PB_FIXTURES (basins)</t>
  </si>
  <si>
    <t xml:space="preserve">WI-PB-02</t>
  </si>
  <si>
    <t xml:space="preserve">PDR-004</t>
  </si>
  <si>
    <t xml:space="preserve">Vent pipe</t>
  </si>
  <si>
    <t xml:space="preserve">uPVC vent pipe 2-3in with mosquito screen cowl</t>
  </si>
  <si>
    <t xml:space="preserve">Soil/waste stack venting, 1 ft above roof</t>
  </si>
  <si>
    <t xml:space="preserve">Bath count, floors, FLR_H</t>
  </si>
  <si>
    <t xml:space="preserve">Vent terminal min 1 ft above finished roof (drawing note).</t>
  </si>
  <si>
    <t xml:space="preserve">sh.26 vent details</t>
  </si>
  <si>
    <t xml:space="preserve">PDR-005</t>
  </si>
  <si>
    <t xml:space="preserve">Rainwater</t>
  </si>
  <si>
    <t xml:space="preserve">uPVC rainwater pipe 3-4in</t>
  </si>
  <si>
    <t xml:space="preserve">Type-B / pressure class C</t>
  </si>
  <si>
    <t xml:space="preserve">Roof &amp; terrace downpipes to khura/drain</t>
  </si>
  <si>
    <t xml:space="preserve">Q = Σ [WI qty × Recipe coefficient] × (1 + Wastage %)  — driven by WI-PB-09 (see Recipes)</t>
  </si>
  <si>
    <t xml:space="preserve">N_RWP, building height</t>
  </si>
  <si>
    <t xml:space="preserve">Rule: 1 RWP per ~400-500 sft of roof (4in) - check.</t>
  </si>
  <si>
    <t xml:space="preserve">WI-PB-09</t>
  </si>
  <si>
    <t xml:space="preserve">sh.26 detail 10/11</t>
  </si>
  <si>
    <t xml:space="preserve">WSD-01</t>
  </si>
  <si>
    <t xml:space="preserve">PDR-006</t>
  </si>
  <si>
    <t xml:space="preserve">Fittings</t>
  </si>
  <si>
    <t xml:space="preserve">uPVC drainage fittings (bends, Y-junctions, tees, sockets, reducers, cleanout plugs)</t>
  </si>
  <si>
    <t xml:space="preserve">All soil/waste/vent runs</t>
  </si>
  <si>
    <t xml:space="preserve">Bath count</t>
  </si>
  <si>
    <t xml:space="preserve">ISO 3633</t>
  </si>
  <si>
    <t xml:space="preserve">PDR-007</t>
  </si>
  <si>
    <t xml:space="preserve">Jointing</t>
  </si>
  <si>
    <t xml:space="preserve">uPVC solvent cement</t>
  </si>
  <si>
    <t xml:space="preserve">Tin 250/500 ml</t>
  </si>
  <si>
    <t xml:space="preserve">Solvent jointing</t>
  </si>
  <si>
    <t xml:space="preserve">sh.24 joint detail</t>
  </si>
  <si>
    <t xml:space="preserve">PDR-008</t>
  </si>
  <si>
    <t xml:space="preserve">Rubber ring (EPDM) joints for sewer pipe</t>
  </si>
  <si>
    <t xml:space="preserve">Size-matched</t>
  </si>
  <si>
    <t xml:space="preserve">External flow-line sewers</t>
  </si>
  <si>
    <t xml:space="preserve">Q = CEIL(sewer length / pipe length) + fittings  × (1 + Wastage %)</t>
  </si>
  <si>
    <t xml:space="preserve">Sewer length</t>
  </si>
  <si>
    <t xml:space="preserve">EN 1401</t>
  </si>
  <si>
    <t xml:space="preserve">LEN(sewer)/K_PIPE_L</t>
  </si>
  <si>
    <t xml:space="preserve">PDR-009</t>
  </si>
  <si>
    <t xml:space="preserve">Traps</t>
  </si>
  <si>
    <t xml:space="preserve">Floor trap (FT) with SS/brass grating, anti-cockroach</t>
  </si>
  <si>
    <t xml:space="preserve">3-4in outlet</t>
  </si>
  <si>
    <t xml:space="preserve">Baths, laundry, kitchen, balconies, AC drain</t>
  </si>
  <si>
    <t xml:space="preserve">Q = Σ [WI qty × Recipe coefficient] × (1 + Wastage %)  — driven by WI-PB-05 (see Recipes)</t>
  </si>
  <si>
    <t xml:space="preserve">FT symbol count</t>
  </si>
  <si>
    <t xml:space="preserve">AI counts F.T symbols per plan; ~2 per bath in sample.</t>
  </si>
  <si>
    <t xml:space="preserve">WI-PB-05</t>
  </si>
  <si>
    <t xml:space="preserve">sh.21-23 (F.T)</t>
  </si>
  <si>
    <t xml:space="preserve">PDR-010</t>
  </si>
  <si>
    <t xml:space="preserve">Cleanout</t>
  </si>
  <si>
    <t xml:space="preserve">Cleanout (C.O) with brass screw cap</t>
  </si>
  <si>
    <t xml:space="preserve">4in</t>
  </si>
  <si>
    <t xml:space="preserve">Stack bases &amp; sewer bends</t>
  </si>
  <si>
    <t xml:space="preserve">Q = count of C.O symbols (or 1 per stack + 1 per change in direction)</t>
  </si>
  <si>
    <t xml:space="preserve">Plumbing plans</t>
  </si>
  <si>
    <t xml:space="preserve">COUNT(CO)</t>
  </si>
  <si>
    <t xml:space="preserve">sh.24/26</t>
  </si>
  <si>
    <t xml:space="preserve">PDR-011</t>
  </si>
  <si>
    <t xml:space="preserve">Bottle trap (chrome) for wash basins</t>
  </si>
  <si>
    <t xml:space="preserve">1-1/4in</t>
  </si>
  <si>
    <t xml:space="preserve">Every basin (drawing note)</t>
  </si>
  <si>
    <t xml:space="preserve">Basin count</t>
  </si>
  <si>
    <t xml:space="preserve">PDR-012</t>
  </si>
  <si>
    <t xml:space="preserve">Sewer</t>
  </si>
  <si>
    <t xml:space="preserve">External sewer pipe 6in (160 mm) uPVC flow-line or RCC (Shalimar)</t>
  </si>
  <si>
    <t xml:space="preserve">EN 1401 SN4 / RCC class</t>
  </si>
  <si>
    <t xml:space="preserve">House to municipal sewer</t>
  </si>
  <si>
    <t xml:space="preserve">Q = Σ [WI qty × Recipe coefficient] × (1 + Wastage %)  — driven by WI-PB-11 (see Recipes)</t>
  </si>
  <si>
    <t xml:space="preserve">Site plan sewer route</t>
  </si>
  <si>
    <t xml:space="preserve">Slope 1:150 for 6in (drawing slope table).</t>
  </si>
  <si>
    <t xml:space="preserve">WI-PB-11</t>
  </si>
  <si>
    <t xml:space="preserve">sh.24/25 notes</t>
  </si>
  <si>
    <t xml:space="preserve">PDR-013</t>
  </si>
  <si>
    <t xml:space="preserve">Manhole</t>
  </si>
  <si>
    <t xml:space="preserve">Manhole brickwork, PCC base, RCC slab, benching (materials via WI-PB-12)</t>
  </si>
  <si>
    <t xml:space="preserve">Brick 1:4, PCC 1:4:8, 1:2:4 benching</t>
  </si>
  <si>
    <t xml:space="preserve">Sewer junctions/changes</t>
  </si>
  <si>
    <t xml:space="preserve">Q = count M.H; materials = parametric K_MH_* x count</t>
  </si>
  <si>
    <t xml:space="preserve">MH depth class (&lt;3 ft / 3-6 ft)</t>
  </si>
  <si>
    <t xml:space="preserve">Masonry/concrete components booked to MAS/CON materials via recipe.</t>
  </si>
  <si>
    <t xml:space="preserve">Drawing sh.24</t>
  </si>
  <si>
    <t xml:space="preserve">COUNT(MH)</t>
  </si>
  <si>
    <t xml:space="preserve">sh.24</t>
  </si>
  <si>
    <t xml:space="preserve">PDR-014</t>
  </si>
  <si>
    <t xml:space="preserve">Manhole cover with CI/MS angle frame (18in/22in dia or RCC)</t>
  </si>
  <si>
    <t xml:space="preserve">Light/medium duty</t>
  </si>
  <si>
    <t xml:space="preserve">Manhole tops</t>
  </si>
  <si>
    <t xml:space="preserve">Q = Σ [WI qty × Recipe coefficient] × (1 + Wastage %)  — driven by WI-PB-12 (see Recipes)</t>
  </si>
  <si>
    <t xml:space="preserve">MH count &amp; size</t>
  </si>
  <si>
    <t xml:space="preserve">WI-PB-12</t>
  </si>
  <si>
    <t xml:space="preserve">sh.24 detail 3</t>
  </si>
  <si>
    <t xml:space="preserve">PDR-015</t>
  </si>
  <si>
    <t xml:space="preserve">Gully trap</t>
  </si>
  <si>
    <t xml:space="preserve">Gully trap (CI/uPVC) with grating + brick chamber</t>
  </si>
  <si>
    <t xml:space="preserve">Kitchen/washing waste into sewer</t>
  </si>
  <si>
    <t xml:space="preserve">Q = Σ [WI qty × Recipe coefficient] × (1 + Wastage %)  — driven by WI-PB-13 (see Recipes)</t>
  </si>
  <si>
    <t xml:space="preserve">G.T count</t>
  </si>
  <si>
    <t xml:space="preserve">WI-PB-13</t>
  </si>
  <si>
    <t xml:space="preserve">PDR-016</t>
  </si>
  <si>
    <t xml:space="preserve">Roof outlet</t>
  </si>
  <si>
    <t xml:space="preserve">Khura (roof outlet) 2'x2' with CI/SS grating</t>
  </si>
  <si>
    <t xml:space="preserve">Brick/concrete sump</t>
  </si>
  <si>
    <t xml:space="preserve">Roof &amp; terrace outlets</t>
  </si>
  <si>
    <t xml:space="preserve">Q = Σ [WI qty × Recipe coefficient] × (1 + Wastage %)  — driven by WI-PB-10 (see Recipes)</t>
  </si>
  <si>
    <t xml:space="preserve">N_RWP</t>
  </si>
  <si>
    <t xml:space="preserve">Drawing sh.26</t>
  </si>
  <si>
    <t xml:space="preserve">WI-PB-10</t>
  </si>
  <si>
    <t xml:space="preserve">PDR-017</t>
  </si>
  <si>
    <t xml:space="preserve">Steps</t>
  </si>
  <si>
    <t xml:space="preserve">Malleable CI manhole steps @12in c/c</t>
  </si>
  <si>
    <t xml:space="preserve">1in dia</t>
  </si>
  <si>
    <t xml:space="preserve">Manholes deeper than 3 ft</t>
  </si>
  <si>
    <t xml:space="preserve">Q = SUM(CEIL(MH depth ft) - 1) for MH &gt; 3 ft</t>
  </si>
  <si>
    <t xml:space="preserve">MH depths</t>
  </si>
  <si>
    <t xml:space="preserve">COUNT(MH|deep)</t>
  </si>
  <si>
    <t xml:space="preserve">sh.24 detail 2</t>
  </si>
  <si>
    <t xml:space="preserve">PDR-018</t>
  </si>
  <si>
    <t xml:space="preserve">Waterproofing</t>
  </si>
  <si>
    <t xml:space="preserve">Puddlo (integral WP) for manhole plaster</t>
  </si>
  <si>
    <t xml:space="preserve">Powder</t>
  </si>
  <si>
    <t xml:space="preserve">MH/tank internal plaster</t>
  </si>
  <si>
    <t xml:space="preserve">Q = MH internal plaster area x K_PUDDLO_KG_SFT (use WPF recipes)  × (1 + Wastage %)</t>
  </si>
  <si>
    <t xml:space="preserve">MH count</t>
  </si>
  <si>
    <t xml:space="preserve">RECIPE via MH</t>
  </si>
  <si>
    <t xml:space="preserve">PDR-019</t>
  </si>
  <si>
    <t xml:space="preserve">Drain</t>
  </si>
  <si>
    <t xml:space="preserve">Surface drain D-1/D-2 (PCC/RCC) with grating</t>
  </si>
  <si>
    <t xml:space="preserve">6in wide</t>
  </si>
  <si>
    <t xml:space="preserve">Lawn/porch perimeter drains</t>
  </si>
  <si>
    <t xml:space="preserve">Q = LEN(drain) from site plan</t>
  </si>
  <si>
    <t xml:space="preserve">LEN(drain)</t>
  </si>
  <si>
    <t xml:space="preserve">sh.26 drain D-1/D-2</t>
  </si>
  <si>
    <t xml:space="preserve">PDR-020</t>
  </si>
  <si>
    <t xml:space="preserve">Bedding</t>
  </si>
  <si>
    <t xml:space="preserve">Sand bedding for sewer trench (3in)</t>
  </si>
  <si>
    <t xml:space="preserve">Clean river sand</t>
  </si>
  <si>
    <t xml:space="preserve">Sewer trench</t>
  </si>
  <si>
    <t xml:space="preserve">sh.24 trench detail</t>
  </si>
  <si>
    <t xml:space="preserve">PDR-021</t>
  </si>
  <si>
    <t xml:space="preserve">Pipe clamps / hangers (MS galvanised)</t>
  </si>
  <si>
    <t xml:space="preserve">RWP &amp; hanging soil pipes</t>
  </si>
  <si>
    <t xml:space="preserve">RWP length</t>
  </si>
  <si>
    <t xml:space="preserve">sh.26 hanging detail</t>
  </si>
  <si>
    <t xml:space="preserve">PDR-022</t>
  </si>
  <si>
    <t xml:space="preserve">Kitchen sink waste set with grease trap / strainer</t>
  </si>
  <si>
    <t xml:space="preserve">Plastic/SS</t>
  </si>
  <si>
    <t xml:space="preserve">Kitchen sink</t>
  </si>
  <si>
    <t xml:space="preserve">Kitchen sink count</t>
  </si>
  <si>
    <t xml:space="preserve">PDR-023</t>
  </si>
  <si>
    <t xml:space="preserve">Septic</t>
  </si>
  <si>
    <t xml:space="preserve">Septic tank (RCC 1:2:4) - materials booked via WI-CN (tank) recipes</t>
  </si>
  <si>
    <t xml:space="preserve">6'-6"x5'-0" (detail) vs 8'x4' (plan)</t>
  </si>
  <si>
    <t xml:space="preserve">Where no municipal sewer / pre-treatment</t>
  </si>
  <si>
    <t xml:space="preserve">Q = VOL(walls+base+slab) per tank detail; rebar by BBS</t>
  </si>
  <si>
    <t xml:space="preserve">Tank L,W,D, wall t, bar spacing</t>
  </si>
  <si>
    <t xml:space="preserve">Size conflict in drawings - flagged in Gaps sheet.</t>
  </si>
  <si>
    <t xml:space="preserve">Drawing sh.16</t>
  </si>
  <si>
    <t xml:space="preserve">VOL(tank)</t>
  </si>
  <si>
    <t xml:space="preserve">SAN-001</t>
  </si>
  <si>
    <t xml:space="preserve">Sanitaryware &amp; CP Fittings</t>
  </si>
  <si>
    <t xml:space="preserve">WC</t>
  </si>
  <si>
    <t xml:space="preserve">Wall-hung WC pan (vitreous china)</t>
  </si>
  <si>
    <t xml:space="preserve">Wall-hung, rimless preferred</t>
  </si>
  <si>
    <t xml:space="preserve">Baths (concealed WC in drawings)</t>
  </si>
  <si>
    <t xml:space="preserve">WC count</t>
  </si>
  <si>
    <t xml:space="preserve">Brands: Porta, Master, Sonex, Faisal, Grohe/Toto (premium).</t>
  </si>
  <si>
    <t xml:space="preserve">sh.21-23 (concealed WC)</t>
  </si>
  <si>
    <t xml:space="preserve">SAN-002</t>
  </si>
  <si>
    <t xml:space="preserve">Concealed cistern frame + dual flush plate</t>
  </si>
  <si>
    <t xml:space="preserve">Geberit/Porta type, 3/6 L</t>
  </si>
  <si>
    <t xml:space="preserve">Wall-hung WC</t>
  </si>
  <si>
    <t xml:space="preserve">Frame must be installed at rough-in stage (S2), plate at S9.</t>
  </si>
  <si>
    <t xml:space="preserve">sh.21-23</t>
  </si>
  <si>
    <t xml:space="preserve">SAN-003</t>
  </si>
  <si>
    <t xml:space="preserve">Floor-mounted commode (alternative)</t>
  </si>
  <si>
    <t xml:space="preserve">Close-coupled</t>
  </si>
  <si>
    <t xml:space="preserve">Budget alternative to wall-hung</t>
  </si>
  <si>
    <t xml:space="preserve">Q = WC count (if tier = floor-mounted)</t>
  </si>
  <si>
    <t xml:space="preserve">Tier</t>
  </si>
  <si>
    <t xml:space="preserve">COUNT(WC)</t>
  </si>
  <si>
    <t xml:space="preserve">SAN-004</t>
  </si>
  <si>
    <t xml:space="preserve">Basin</t>
  </si>
  <si>
    <t xml:space="preserve">Wash basin / vanity top basin</t>
  </si>
  <si>
    <t xml:space="preserve">Counter-top or under-counter</t>
  </si>
  <si>
    <t xml:space="preserve">Baths (VANITY)</t>
  </si>
  <si>
    <t xml:space="preserve">sh.21-23 (VANITY)</t>
  </si>
  <si>
    <t xml:space="preserve">SAN-005</t>
  </si>
  <si>
    <t xml:space="preserve">CP</t>
  </si>
  <si>
    <t xml:space="preserve">Basin mixer (single lever)</t>
  </si>
  <si>
    <t xml:space="preserve">Basins</t>
  </si>
  <si>
    <t xml:space="preserve">SAN-006</t>
  </si>
  <si>
    <t xml:space="preserve">Concealed shower set (diverter/mixer body + trim, overhead shower, arm)</t>
  </si>
  <si>
    <t xml:space="preserve">Brass body</t>
  </si>
  <si>
    <t xml:space="preserve">Shower areas</t>
  </si>
  <si>
    <t xml:space="preserve">Q = Σ [WI qty × Recipe coefficient] × (1 + Wastage %)  — driven by WI-PB-03 (see Recipes)</t>
  </si>
  <si>
    <t xml:space="preserve">Shower count</t>
  </si>
  <si>
    <t xml:space="preserve">Mixer body at rough-in (S2), trim at handover.</t>
  </si>
  <si>
    <t xml:space="preserve">WI-PB-03</t>
  </si>
  <si>
    <t xml:space="preserve">S2,S9</t>
  </si>
  <si>
    <t xml:space="preserve">sh.21-23 (CONCEALED SHOWER)</t>
  </si>
  <si>
    <t xml:space="preserve">SAN-007</t>
  </si>
  <si>
    <t xml:space="preserve">Health faucet (Muslim shower) with angle valve &amp; hose</t>
  </si>
  <si>
    <t xml:space="preserve">Chrome</t>
  </si>
  <si>
    <t xml:space="preserve">Every WC</t>
  </si>
  <si>
    <t xml:space="preserve">Q = Σ [WI qty × Recipe coefficient] × (1 + Wastage %)  — driven by WI-PB-04 (see Recipes)</t>
  </si>
  <si>
    <t xml:space="preserve">Universal in PK - often omitted in drawings.</t>
  </si>
  <si>
    <t xml:space="preserve">WI-PB-04</t>
  </si>
  <si>
    <t xml:space="preserve">SAN-008</t>
  </si>
  <si>
    <t xml:space="preserve">Angle valves (stop cocks) 1/2in</t>
  </si>
  <si>
    <t xml:space="preserve">WC, basin, sink, geyser connections</t>
  </si>
  <si>
    <t xml:space="preserve">Fixture count</t>
  </si>
  <si>
    <t xml:space="preserve">sh.25 isolation valve note</t>
  </si>
  <si>
    <t xml:space="preserve">SAN-009</t>
  </si>
  <si>
    <t xml:space="preserve">Braided connection hoses</t>
  </si>
  <si>
    <t xml:space="preserve">SS braided 12-18in</t>
  </si>
  <si>
    <t xml:space="preserve">Basin/sink/cistern connections</t>
  </si>
  <si>
    <t xml:space="preserve">Q = 2 x basins + 2 x sinks + 1 x cisterns (exposed)</t>
  </si>
  <si>
    <t xml:space="preserve">Fixture counts</t>
  </si>
  <si>
    <t xml:space="preserve">COUNT(fixtures)</t>
  </si>
  <si>
    <t xml:space="preserve">SAN-010</t>
  </si>
  <si>
    <t xml:space="preserve">Bath accessories set (towel rail, ring, paper holder, soap dish, robe hook, shelf)</t>
  </si>
  <si>
    <t xml:space="preserve">Chrome/SS</t>
  </si>
  <si>
    <t xml:space="preserve">Each bathroom</t>
  </si>
  <si>
    <t xml:space="preserve">SAN-011</t>
  </si>
  <si>
    <t xml:space="preserve">Bathroom mirror / mirror cabinet</t>
  </si>
  <si>
    <t xml:space="preserve">5 mm silvered</t>
  </si>
  <si>
    <t xml:space="preserve">Above basins</t>
  </si>
  <si>
    <t xml:space="preserve">Q = basin count</t>
  </si>
  <si>
    <t xml:space="preserve">COUNT(basin)</t>
  </si>
  <si>
    <t xml:space="preserve">sh.31 mirror light</t>
  </si>
  <si>
    <t xml:space="preserve">SAN-012</t>
  </si>
  <si>
    <t xml:space="preserve">Shower</t>
  </si>
  <si>
    <t xml:space="preserve">Shower glass partition / screen</t>
  </si>
  <si>
    <t xml:space="preserve">10 mm tempered</t>
  </si>
  <si>
    <t xml:space="preserve">Shower areas (SHOWER AREA marked)</t>
  </si>
  <si>
    <t xml:space="preserve">Q = shower width x 6.5 ft height  × (1 + Wastage %)</t>
  </si>
  <si>
    <t xml:space="preserve">Shower zone width</t>
  </si>
  <si>
    <t xml:space="preserve">AREA(shower screen)</t>
  </si>
  <si>
    <t xml:space="preserve">SAN-013</t>
  </si>
  <si>
    <t xml:space="preserve">Linear shower drain (SS)</t>
  </si>
  <si>
    <t xml:space="preserve">24-32in</t>
  </si>
  <si>
    <t xml:space="preserve">Walk-in showers (alt to F.T)</t>
  </si>
  <si>
    <t xml:space="preserve">Q = shower count (if linear tier)</t>
  </si>
  <si>
    <t xml:space="preserve">COUNT(shower)</t>
  </si>
  <si>
    <t xml:space="preserve">SAN-014</t>
  </si>
  <si>
    <t xml:space="preserve">Laundry</t>
  </si>
  <si>
    <t xml:space="preserve">Washing machine tap + drain point</t>
  </si>
  <si>
    <t xml:space="preserve">Bib cock with hose union</t>
  </si>
  <si>
    <t xml:space="preserve">Q = Σ [WI qty × Recipe coefficient] × (1 + Wastage %)  — driven by WI-PB-08 (see Recipes)</t>
  </si>
  <si>
    <t xml:space="preserve">WM count</t>
  </si>
  <si>
    <t xml:space="preserve">WI-PB-08</t>
  </si>
  <si>
    <t xml:space="preserve">sh.1 laundry</t>
  </si>
  <si>
    <t xml:space="preserve">SAN-015</t>
  </si>
  <si>
    <t xml:space="preserve">Bib cocks / garden taps</t>
  </si>
  <si>
    <t xml:space="preserve">Brass 1/2in</t>
  </si>
  <si>
    <t xml:space="preserve">Terraces, porch, lawn, roof, laundry</t>
  </si>
  <si>
    <t xml:space="preserve">Q = count of external/utility tap points (default: 1 per terrace/porch/roof + 1 lawn)</t>
  </si>
  <si>
    <t xml:space="preserve">Plans</t>
  </si>
  <si>
    <t xml:space="preserve">COUNT(taps)</t>
  </si>
  <si>
    <t xml:space="preserve">SAN-016</t>
  </si>
  <si>
    <t xml:space="preserve">Gas/electric water heater (geyser) 35-55 gal or instant</t>
  </si>
  <si>
    <t xml:space="preserve">Storage / instant</t>
  </si>
  <si>
    <t xml:space="preserve">Hot water (sh.25 geyser symbol)</t>
  </si>
  <si>
    <t xml:space="preserve">Q = geyser count per plan (typ. 1 per floor)</t>
  </si>
  <si>
    <t xml:space="preserve">Plumbing legend</t>
  </si>
  <si>
    <t xml:space="preserve">SNGPL gas restrictions - consider electric/solar/LPG.</t>
  </si>
  <si>
    <t xml:space="preserve">SAN-017</t>
  </si>
  <si>
    <t xml:space="preserve">Solar water heater (evacuated tube) - optional</t>
  </si>
  <si>
    <t xml:space="preserve">100-200 L</t>
  </si>
  <si>
    <t xml:space="preserve">Roof</t>
  </si>
  <si>
    <t xml:space="preserve">Q = 1 per household (option)</t>
  </si>
  <si>
    <t xml:space="preserve">Roof space</t>
  </si>
  <si>
    <t xml:space="preserve">SAN-018</t>
  </si>
  <si>
    <t xml:space="preserve">Pumps: booster pump, submersible/suction (UG-&gt;OH), hot water recirculation pump</t>
  </si>
  <si>
    <t xml:space="preserve">0.5-1 HP</t>
  </si>
  <si>
    <t xml:space="preserve">Water transfer &amp; pressure (sh.25 legend)</t>
  </si>
  <si>
    <t xml:space="preserve">Q = 1 per pump type shown in legend</t>
  </si>
  <si>
    <t xml:space="preserve">Include float switch &amp; pump controller.</t>
  </si>
  <si>
    <t xml:space="preserve">COUNT(pump types)</t>
  </si>
  <si>
    <t xml:space="preserve">SAN-019</t>
  </si>
  <si>
    <t xml:space="preserve">Tank</t>
  </si>
  <si>
    <t xml:space="preserve">Overhead water tank 600 gal FG with GRP cover (or polyethylene)</t>
  </si>
  <si>
    <t xml:space="preserve">FRP/GRP</t>
  </si>
  <si>
    <t xml:space="preserve">Mumty roof (drawing)</t>
  </si>
  <si>
    <t xml:space="preserve">Q = 1 x tank capacity (from plan)</t>
  </si>
  <si>
    <t xml:space="preserve">Tank capacity</t>
  </si>
  <si>
    <t xml:space="preserve">Conflicts with RCC OHWT detail on sh.16 - confirm.</t>
  </si>
  <si>
    <t xml:space="preserve">sh.23</t>
  </si>
  <si>
    <t xml:space="preserve">GAS-001</t>
  </si>
  <si>
    <t xml:space="preserve">Gas</t>
  </si>
  <si>
    <t xml:space="preserve">Pipe</t>
  </si>
  <si>
    <t xml:space="preserve">GI pipe (medium class) 1/2-3/4in</t>
  </si>
  <si>
    <t xml:space="preserve">BS 1387 / EN 10255 medium</t>
  </si>
  <si>
    <t xml:space="preserve">Gas points (drawing: 3/4in riser)</t>
  </si>
  <si>
    <t xml:space="preserve">Q = Σ [WI qty × Recipe coefficient] × (1 + Wastage %)  — driven by WI-GS-01 (see Recipes)</t>
  </si>
  <si>
    <t xml:space="preserve">Gas point count, riser height</t>
  </si>
  <si>
    <t xml:space="preserve">BS 1387</t>
  </si>
  <si>
    <t xml:space="preserve">WI-GS-01</t>
  </si>
  <si>
    <t xml:space="preserve">sh.26 riser legend</t>
  </si>
  <si>
    <t xml:space="preserve">GAS-002</t>
  </si>
  <si>
    <t xml:space="preserve">GI threaded fittings (elbows, tees, sockets, unions)</t>
  </si>
  <si>
    <t xml:space="preserve">Medium class</t>
  </si>
  <si>
    <t xml:space="preserve">Gas runs</t>
  </si>
  <si>
    <t xml:space="preserve">Gas points</t>
  </si>
  <si>
    <t xml:space="preserve">GAS-003</t>
  </si>
  <si>
    <t xml:space="preserve">Valve</t>
  </si>
  <si>
    <t xml:space="preserve">Gas cock/ball valve with nozzle</t>
  </si>
  <si>
    <t xml:space="preserve">1/2in brass, OGRA-approved</t>
  </si>
  <si>
    <t xml:space="preserve">Each gas appliance point</t>
  </si>
  <si>
    <t xml:space="preserve">GAS-004</t>
  </si>
  <si>
    <t xml:space="preserve">Protection</t>
  </si>
  <si>
    <t xml:space="preserve">Anti-corrosion wrapping tape (buried GI)</t>
  </si>
  <si>
    <t xml:space="preserve">PVC/bitumen tape</t>
  </si>
  <si>
    <t xml:space="preserve">Buried/concealed gas pipe</t>
  </si>
  <si>
    <t xml:space="preserve">Q = buried gas pipe length x K_GAS_WRAP  × (1 + Wastage %)</t>
  </si>
  <si>
    <t xml:space="preserve">Gas route</t>
  </si>
  <si>
    <t xml:space="preserve">LEN(gas buried)*K</t>
  </si>
  <si>
    <t xml:space="preserve">GAS-005</t>
  </si>
  <si>
    <t xml:space="preserve">Meter</t>
  </si>
  <si>
    <t xml:space="preserve">Gas meter platform / meter box &amp; regulator connection</t>
  </si>
  <si>
    <t xml:space="preserve">As per SNGPL</t>
  </si>
  <si>
    <t xml:space="preserve">Service entry</t>
  </si>
  <si>
    <t xml:space="preserve">Q = 1 per connection (if SNGPL available)</t>
  </si>
  <si>
    <t xml:space="preserve">Gas availability</t>
  </si>
  <si>
    <t xml:space="preserve">New domestic connections restricted; LPG manifold option.</t>
  </si>
  <si>
    <t xml:space="preserve">SNGPL</t>
  </si>
  <si>
    <t xml:space="preserve">GAS-006</t>
  </si>
  <si>
    <t xml:space="preserve">LPG</t>
  </si>
  <si>
    <t xml:space="preserve">LPG cylinder manifold + regulator + copper/rubber hose kit (alternative)</t>
  </si>
  <si>
    <t xml:space="preserve">OGRA</t>
  </si>
  <si>
    <t xml:space="preserve">Where no SNGPL</t>
  </si>
  <si>
    <t xml:space="preserve">Q = 1 set if gas_source = LPG</t>
  </si>
  <si>
    <t xml:space="preserve">Gas source</t>
  </si>
  <si>
    <t xml:space="preserve">ELE-001</t>
  </si>
  <si>
    <t xml:space="preserve">Electrical</t>
  </si>
  <si>
    <t xml:space="preserve">Conduit</t>
  </si>
  <si>
    <t xml:space="preserve">PVC conduit 3/4in (20/25 mm) heavy gauge</t>
  </si>
  <si>
    <t xml:space="preserve">Medium/heavy, fire-retardant</t>
  </si>
  <si>
    <t xml:space="preserve">Light, fan, socket, LV circuits</t>
  </si>
  <si>
    <t xml:space="preserve">Q = Σ [WI qty × Recipe coefficient] × (1 + Wastage %)  — driven by WI-EL-01, WI-EL-02, WI-EL-03, WI-EL-04, WI-EL-06 (see Recipes)</t>
  </si>
  <si>
    <t xml:space="preserve">Point counts by type (symbols)</t>
  </si>
  <si>
    <t xml:space="preserve">Slab conduits laid before casting (S4); wall chasing S5.</t>
  </si>
  <si>
    <t xml:space="preserve">IEC 61386</t>
  </si>
  <si>
    <t xml:space="preserve">WI-EL-01, WI-EL-02, WI-EL-03, WI-EL-04, WI-EL-06</t>
  </si>
  <si>
    <t xml:space="preserve">W_CONDUIT</t>
  </si>
  <si>
    <t xml:space="preserve">S2,S4</t>
  </si>
  <si>
    <t xml:space="preserve">sh.27-28</t>
  </si>
  <si>
    <t xml:space="preserve">ELEC-01</t>
  </si>
  <si>
    <t xml:space="preserve">ELE-002</t>
  </si>
  <si>
    <t xml:space="preserve">PVC conduit 1in (32 mm)</t>
  </si>
  <si>
    <t xml:space="preserve">Heavy gauge</t>
  </si>
  <si>
    <t xml:space="preserve">AC &amp; sub-main circuits</t>
  </si>
  <si>
    <t xml:space="preserve">Q = Σ [WI qty × Recipe coefficient] × (1 + Wastage %)  — driven by WI-EL-05, WI-EL-07 (see Recipes)</t>
  </si>
  <si>
    <t xml:space="preserve">AC count, sub-main length</t>
  </si>
  <si>
    <t xml:space="preserve">WI-EL-05, WI-EL-07</t>
  </si>
  <si>
    <t xml:space="preserve">ELE-003</t>
  </si>
  <si>
    <t xml:space="preserve">Flexible conduit / GI conduit (exposed/outdoor)</t>
  </si>
  <si>
    <t xml:space="preserve">Exposed runs, roof, meter</t>
  </si>
  <si>
    <t xml:space="preserve">Q = LEN(exposed runs)  × (1 + Wastage %)</t>
  </si>
  <si>
    <t xml:space="preserve">Site</t>
  </si>
  <si>
    <t xml:space="preserve">LEN</t>
  </si>
  <si>
    <t xml:space="preserve">ELE-004</t>
  </si>
  <si>
    <t xml:space="preserve">Conduit fittings (bends, couplers, circular/junction boxes, saddles)</t>
  </si>
  <si>
    <t xml:space="preserve">PVC</t>
  </si>
  <si>
    <t xml:space="preserve">All conduit runs</t>
  </si>
  <si>
    <t xml:space="preserve">Q = Σ [WI qty × Recipe coefficient] × (1 + Wastage %)  — driven by WI-EL-01, WI-EL-02, WI-EL-03 (see Recipes)</t>
  </si>
  <si>
    <t xml:space="preserve">Point counts</t>
  </si>
  <si>
    <t xml:space="preserve">WI-EL-01, WI-EL-02, WI-EL-03</t>
  </si>
  <si>
    <t xml:space="preserve">ELE-005</t>
  </si>
  <si>
    <t xml:space="preserve">Boxes</t>
  </si>
  <si>
    <t xml:space="preserve">Switch/socket back boxes (GI/PVC) 3x3, 3x6, 4x4</t>
  </si>
  <si>
    <t xml:space="preserve">Every point</t>
  </si>
  <si>
    <t xml:space="preserve">Q = Σ [WI qty × Recipe coefficient] × (1 + Wastage %)  — driven by WI-EL-01, WI-EL-02, WI-EL-03, WI-EL-04, WI-EL-05, WI-EL-06 (see Recipes)</t>
  </si>
  <si>
    <t xml:space="preserve">WI-EL-01, WI-EL-02, WI-EL-03, WI-EL-04, WI-EL-05, WI-EL-06</t>
  </si>
  <si>
    <t xml:space="preserve">ELE-006</t>
  </si>
  <si>
    <t xml:space="preserve">Wire</t>
  </si>
  <si>
    <t xml:space="preserve">PVC insulated copper wire 3/29 (~1.5 mm2)</t>
  </si>
  <si>
    <t xml:space="preserve">450/750 V, 90 m coil</t>
  </si>
  <si>
    <t xml:space="preserve">m</t>
  </si>
  <si>
    <t xml:space="preserve">Light &amp; fan circuits</t>
  </si>
  <si>
    <t xml:space="preserve">Q = Σ [WI qty × Recipe coefficient] × (1 + Wastage %)  — driven by WI-EL-01, WI-EL-02 (see Recipes)</t>
  </si>
  <si>
    <t xml:space="preserve">Light/fan points</t>
  </si>
  <si>
    <t xml:space="preserve">Brands: Pakistan Cables, Fast, Newage. Buy by coil: CEIL(m/90).</t>
  </si>
  <si>
    <t xml:space="preserve">PS/IEC 60227</t>
  </si>
  <si>
    <t xml:space="preserve">WI-EL-01, WI-EL-02</t>
  </si>
  <si>
    <t xml:space="preserve">W_WIRE</t>
  </si>
  <si>
    <t xml:space="preserve">ELE-007</t>
  </si>
  <si>
    <t xml:space="preserve">PVC insulated copper wire 7/29 (~2.5 mm2)</t>
  </si>
  <si>
    <t xml:space="preserve">450/750 V</t>
  </si>
  <si>
    <t xml:space="preserve">13A &amp; 15A socket circuits</t>
  </si>
  <si>
    <t xml:space="preserve">Q = Σ [WI qty × Recipe coefficient] × (1 + Wastage %)  — driven by WI-EL-03, WI-EL-04 (see Recipes)</t>
  </si>
  <si>
    <t xml:space="preserve">Socket/power points</t>
  </si>
  <si>
    <t xml:space="preserve">WI-EL-03, WI-EL-04</t>
  </si>
  <si>
    <t xml:space="preserve">ELE-008</t>
  </si>
  <si>
    <t xml:space="preserve">PVC insulated copper wire 7/36 (~4 mm2)</t>
  </si>
  <si>
    <t xml:space="preserve">AC circuits (1.5-2 ton)</t>
  </si>
  <si>
    <t xml:space="preserve">Q = Σ [WI qty × Recipe coefficient] × (1 + Wastage %)  — driven by WI-EL-05 (see Recipes)</t>
  </si>
  <si>
    <t xml:space="preserve">AC points</t>
  </si>
  <si>
    <t xml:space="preserve">WI-EL-05</t>
  </si>
  <si>
    <t xml:space="preserve">ELE-009</t>
  </si>
  <si>
    <t xml:space="preserve">PVC insulated copper wire 7/44 (~6 mm2)</t>
  </si>
  <si>
    <t xml:space="preserve">Sub-main feeders to floor DBs</t>
  </si>
  <si>
    <t xml:space="preserve">Q = Σ [WI qty × Recipe coefficient] × (1 + Wastage %)  — driven by WI-EL-07 (see Recipes)</t>
  </si>
  <si>
    <t xml:space="preserve">Sub-main length</t>
  </si>
  <si>
    <t xml:space="preserve">WI-EL-07</t>
  </si>
  <si>
    <t xml:space="preserve">sh.29 DB</t>
  </si>
  <si>
    <t xml:space="preserve">ELE-010</t>
  </si>
  <si>
    <t xml:space="preserve">Cable</t>
  </si>
  <si>
    <t xml:space="preserve">Main incoming cable 2-core 10-16 mm2 Cu (meter to main DB)</t>
  </si>
  <si>
    <t xml:space="preserve">PVC/PVC</t>
  </si>
  <si>
    <t xml:space="preserve">Service connection (IESCO)</t>
  </si>
  <si>
    <t xml:space="preserve">Q = LEN(meter to DB) x 1.1  × (1 + Wastage %)</t>
  </si>
  <si>
    <t xml:space="preserve">Meter location</t>
  </si>
  <si>
    <t xml:space="preserve">Size per sanctioned load.</t>
  </si>
  <si>
    <t xml:space="preserve">IEC 60502</t>
  </si>
  <si>
    <t xml:space="preserve">W_CABLE_MAIN</t>
  </si>
  <si>
    <t xml:space="preserve">sh.29</t>
  </si>
  <si>
    <t xml:space="preserve">ELE-011</t>
  </si>
  <si>
    <t xml:space="preserve">Earth</t>
  </si>
  <si>
    <t xml:space="preserve">Earth continuity wire 3/29-7/29 (green/yellow)</t>
  </si>
  <si>
    <t xml:space="preserve">Cu PVC</t>
  </si>
  <si>
    <t xml:space="preserve">All socket, power, AC circuits</t>
  </si>
  <si>
    <t xml:space="preserve">Q = Σ [WI qty × Recipe coefficient] × (1 + Wastage %)  — driven by WI-EL-01, WI-EL-03, WI-EL-04, WI-EL-05, WI-EL-07 (see Recipes)</t>
  </si>
  <si>
    <t xml:space="preserve">IEC 60364</t>
  </si>
  <si>
    <t xml:space="preserve">WI-EL-01, WI-EL-03, WI-EL-04, WI-EL-05, WI-EL-07</t>
  </si>
  <si>
    <t xml:space="preserve">sh.30</t>
  </si>
  <si>
    <t xml:space="preserve">ELE-012</t>
  </si>
  <si>
    <t xml:space="preserve">Earthing</t>
  </si>
  <si>
    <t xml:space="preserve">Earth electrode set: tinned copper spike + 10 ft GI pipe, charcoal &amp; salt, inspection chamber</t>
  </si>
  <si>
    <t xml:space="preserve">Per drawing detail</t>
  </si>
  <si>
    <t xml:space="preserve">Earthing pits</t>
  </si>
  <si>
    <t xml:space="preserve">Q = Σ [WI qty × Recipe coefficient] × (1 + Wastage %)  — driven by WI-EL-09 (see Recipes)</t>
  </si>
  <si>
    <t xml:space="preserve">Pit count (min 2)</t>
  </si>
  <si>
    <t xml:space="preserve">Min 2 pits recommended; test resistance &lt; 5 ohm.</t>
  </si>
  <si>
    <t xml:space="preserve">Drawing sh.30</t>
  </si>
  <si>
    <t xml:space="preserve">WI-EL-09</t>
  </si>
  <si>
    <t xml:space="preserve">ELE-013</t>
  </si>
  <si>
    <t xml:space="preserve">Bare copper earth conductor / tape</t>
  </si>
  <si>
    <t xml:space="preserve">7/64 or 25 mm2</t>
  </si>
  <si>
    <t xml:space="preserve">Pit to main DB</t>
  </si>
  <si>
    <t xml:space="preserve">Pit count</t>
  </si>
  <si>
    <t xml:space="preserve">W_COPPER</t>
  </si>
  <si>
    <t xml:space="preserve">ELE-014</t>
  </si>
  <si>
    <t xml:space="preserve">DB</t>
  </si>
  <si>
    <t xml:space="preserve">Distribution board (main &amp; floor sub-DBs), flush, with busbar</t>
  </si>
  <si>
    <t xml:space="preserve">8-24 way</t>
  </si>
  <si>
    <t xml:space="preserve">One per floor + main</t>
  </si>
  <si>
    <t xml:space="preserve">Q = Σ [WI qty × Recipe coefficient] × (1 + Wastage %)  — driven by WI-EL-08 (see Recipes)</t>
  </si>
  <si>
    <t xml:space="preserve">DB symbols</t>
  </si>
  <si>
    <t xml:space="preserve">IEC 61439</t>
  </si>
  <si>
    <t xml:space="preserve">WI-EL-08</t>
  </si>
  <si>
    <t xml:space="preserve">sh.27-29</t>
  </si>
  <si>
    <t xml:space="preserve">ELE-015</t>
  </si>
  <si>
    <t xml:space="preserve">MCBs single-pole 6-32A</t>
  </si>
  <si>
    <t xml:space="preserve">6kA, C-curve</t>
  </si>
  <si>
    <t xml:space="preserve">Circuit protection</t>
  </si>
  <si>
    <t xml:space="preserve">Q = number of circuits (lights, sockets, power, each AC, geyser, pumps) + spares 20%</t>
  </si>
  <si>
    <t xml:space="preserve">Circuit schedule</t>
  </si>
  <si>
    <t xml:space="preserve">No circuit schedule in drawings - derive from point grouping (max 8-10 lights / 6 sockets per circuit).</t>
  </si>
  <si>
    <t xml:space="preserve">IEC 60898</t>
  </si>
  <si>
    <t xml:space="preserve">COUNT(circuits)*1.2</t>
  </si>
  <si>
    <t xml:space="preserve">ELE-016</t>
  </si>
  <si>
    <t xml:space="preserve">Main isolator / DP MCB 40-63A</t>
  </si>
  <si>
    <t xml:space="preserve">6-10kA</t>
  </si>
  <si>
    <t xml:space="preserve">Main DB incomer</t>
  </si>
  <si>
    <t xml:space="preserve">Q = 1 per DB</t>
  </si>
  <si>
    <t xml:space="preserve">DB count</t>
  </si>
  <si>
    <t xml:space="preserve">IEC 60947</t>
  </si>
  <si>
    <t xml:space="preserve">COUNT(DB)</t>
  </si>
  <si>
    <t xml:space="preserve">ELE-017</t>
  </si>
  <si>
    <t xml:space="preserve">RCCB/RCBO 30 mA</t>
  </si>
  <si>
    <t xml:space="preserve">2P 40-63A</t>
  </si>
  <si>
    <t xml:space="preserve">Socket &amp; wet-area circuits</t>
  </si>
  <si>
    <t xml:space="preserve">Safety upgrade - not shown in drawings.</t>
  </si>
  <si>
    <t xml:space="preserve">IEC 61008</t>
  </si>
  <si>
    <t xml:space="preserve">ELE-018</t>
  </si>
  <si>
    <t xml:space="preserve">Backup</t>
  </si>
  <si>
    <t xml:space="preserve">Changeover switch (manual/ATS) for UPS/generator/solar</t>
  </si>
  <si>
    <t xml:space="preserve">63A</t>
  </si>
  <si>
    <t xml:space="preserve">Main DB</t>
  </si>
  <si>
    <t xml:space="preserve">Q = 1 per backup source</t>
  </si>
  <si>
    <t xml:space="preserve">Backup option</t>
  </si>
  <si>
    <t xml:space="preserve">ELE-019</t>
  </si>
  <si>
    <t xml:space="preserve">Surge protection device (SPD) Type 2</t>
  </si>
  <si>
    <t xml:space="preserve">40kA</t>
  </si>
  <si>
    <t xml:space="preserve">Q = 1 per main DB</t>
  </si>
  <si>
    <t xml:space="preserve">IEC 61643</t>
  </si>
  <si>
    <t xml:space="preserve">COUNT(main DB)</t>
  </si>
  <si>
    <t xml:space="preserve">ELE-020</t>
  </si>
  <si>
    <t xml:space="preserve">Switches 1-way/2-way 10A (incl. plates)</t>
  </si>
  <si>
    <t xml:space="preserve">Modular/flat plate</t>
  </si>
  <si>
    <t xml:space="preserve">Light/fan switching</t>
  </si>
  <si>
    <t xml:space="preserve">Count switch gangs = light points (1-way) + stair 2-way pairs.</t>
  </si>
  <si>
    <t xml:space="preserve">IEC 60669</t>
  </si>
  <si>
    <t xml:space="preserve">sh.31 symbols</t>
  </si>
  <si>
    <t xml:space="preserve">ELE-021</t>
  </si>
  <si>
    <t xml:space="preserve">13A switched socket outlet (2x13A where shown)</t>
  </si>
  <si>
    <t xml:space="preserve">BS 1363</t>
  </si>
  <si>
    <t xml:space="preserve">General sockets</t>
  </si>
  <si>
    <t xml:space="preserve">Q = Σ [WI qty × Recipe coefficient] × (1 + Wastage %)  — driven by WI-EL-03 (see Recipes)</t>
  </si>
  <si>
    <t xml:space="preserve">Socket symbols</t>
  </si>
  <si>
    <t xml:space="preserve">WI-EL-03</t>
  </si>
  <si>
    <t xml:space="preserve">sh.31</t>
  </si>
  <si>
    <t xml:space="preserve">ELE-022</t>
  </si>
  <si>
    <t xml:space="preserve">15A switched socket</t>
  </si>
  <si>
    <t xml:space="preserve">Round/universal</t>
  </si>
  <si>
    <t xml:space="preserve">Heavy appliances</t>
  </si>
  <si>
    <t xml:space="preserve">Q = Σ [WI qty × Recipe coefficient] × (1 + Wastage %)  — driven by WI-EL-04 (see Recipes)</t>
  </si>
  <si>
    <t xml:space="preserve">15A symbols</t>
  </si>
  <si>
    <t xml:space="preserve">WI-EL-04</t>
  </si>
  <si>
    <t xml:space="preserve">ELE-023</t>
  </si>
  <si>
    <t xml:space="preserve">AC isolator switch 20-32A DP</t>
  </si>
  <si>
    <t xml:space="preserve">Weather-proof for outdoor</t>
  </si>
  <si>
    <t xml:space="preserve">Each split AC</t>
  </si>
  <si>
    <t xml:space="preserve">AC switch symbols</t>
  </si>
  <si>
    <t xml:space="preserve">ELE-024</t>
  </si>
  <si>
    <t xml:space="preserve">Cooker socket &amp; switch / fridge socket &amp; switch</t>
  </si>
  <si>
    <t xml:space="preserve">45A cooker / 13A fridge</t>
  </si>
  <si>
    <t xml:space="preserve">Kitchens</t>
  </si>
  <si>
    <t xml:space="preserve">Q = cooker + fridge socket symbols (default 2 per kitchen)</t>
  </si>
  <si>
    <t xml:space="preserve">Symbol count</t>
  </si>
  <si>
    <t xml:space="preserve">COUNT(sym)</t>
  </si>
  <si>
    <t xml:space="preserve">ELE-025</t>
  </si>
  <si>
    <t xml:space="preserve">Water heater DP switch 20A with neon</t>
  </si>
  <si>
    <t xml:space="preserve">Geyser points</t>
  </si>
  <si>
    <t xml:space="preserve">Q = water heater switch symbols</t>
  </si>
  <si>
    <t xml:space="preserve">Symbols</t>
  </si>
  <si>
    <t xml:space="preserve">ELE-026</t>
  </si>
  <si>
    <t xml:space="preserve">Fan regulator (electronic/step)</t>
  </si>
  <si>
    <t xml:space="preserve">Ceiling fans</t>
  </si>
  <si>
    <t xml:space="preserve">Q = Σ [WI qty × Recipe coefficient] × (1 + Wastage %)  — driven by WI-EL-02 (see Recipes)</t>
  </si>
  <si>
    <t xml:space="preserve">Fan count</t>
  </si>
  <si>
    <t xml:space="preserve">WI-EL-02</t>
  </si>
  <si>
    <t xml:space="preserve">ELE-027</t>
  </si>
  <si>
    <t xml:space="preserve">Bell push + door bell / chime</t>
  </si>
  <si>
    <t xml:space="preserve">Main gate/entrance</t>
  </si>
  <si>
    <t xml:space="preserve">Q = 1-2</t>
  </si>
  <si>
    <t xml:space="preserve">ELE-028</t>
  </si>
  <si>
    <t xml:space="preserve">Low voltage</t>
  </si>
  <si>
    <t xml:space="preserve">TV coaxial cable RG6 + TV outlet</t>
  </si>
  <si>
    <t xml:space="preserve">75 ohm</t>
  </si>
  <si>
    <t xml:space="preserve">TV points</t>
  </si>
  <si>
    <t xml:space="preserve">Q = Σ [WI qty × Recipe coefficient] × (1 + Wastage %)  — driven by WI-EL-06 (see Recipes)</t>
  </si>
  <si>
    <t xml:space="preserve">TV symbol count</t>
  </si>
  <si>
    <t xml:space="preserve">WI-EL-06</t>
  </si>
  <si>
    <t xml:space="preserve">ELE-029</t>
  </si>
  <si>
    <t xml:space="preserve">CAT6 UTP cable + RJ45 data outlet</t>
  </si>
  <si>
    <t xml:space="preserve">CAT6</t>
  </si>
  <si>
    <t xml:space="preserve">Voice &amp; data points</t>
  </si>
  <si>
    <t xml:space="preserve">Q = data points x K_EL_LV_CABLE x (1+w)</t>
  </si>
  <si>
    <t xml:space="preserve">Data symbol count</t>
  </si>
  <si>
    <t xml:space="preserve">Consider fibre drop (FTTH) conduit to lounge/router.</t>
  </si>
  <si>
    <t xml:space="preserve">TIA-568</t>
  </si>
  <si>
    <t xml:space="preserve">COUNT(data)*K</t>
  </si>
  <si>
    <t xml:space="preserve">ELE-030</t>
  </si>
  <si>
    <t xml:space="preserve">Intercom / video door phone set + cable</t>
  </si>
  <si>
    <t xml:space="preserve">2-wire</t>
  </si>
  <si>
    <t xml:space="preserve">Gate to lounge/kitchen</t>
  </si>
  <si>
    <t xml:space="preserve">Q = intercom symbol count (1 outdoor + n indoor)</t>
  </si>
  <si>
    <t xml:space="preserve">ELE-031</t>
  </si>
  <si>
    <t xml:space="preserve">CCTV provision (conduit, cable, camera points, NVR location)</t>
  </si>
  <si>
    <t xml:space="preserve">IP/PoE</t>
  </si>
  <si>
    <t xml:space="preserve">Q = camera points (typ. 4-6 for 5-10 marla)</t>
  </si>
  <si>
    <t xml:space="preserve">Owner input</t>
  </si>
  <si>
    <t xml:space="preserve">ELE-032</t>
  </si>
  <si>
    <t xml:space="preserve">Luminaires</t>
  </si>
  <si>
    <t xml:space="preserve">LED panel/down lights (recessed/surface)</t>
  </si>
  <si>
    <t xml:space="preserve">12-18W</t>
  </si>
  <si>
    <t xml:space="preserve">General lighting</t>
  </si>
  <si>
    <t xml:space="preserve">Q = circular light / DL symbol count</t>
  </si>
  <si>
    <t xml:space="preserve">Often owner-supplied; include as provisional.</t>
  </si>
  <si>
    <t xml:space="preserve">ELE-033</t>
  </si>
  <si>
    <t xml:space="preserve">LED tube light fittings (double)</t>
  </si>
  <si>
    <t xml:space="preserve">2x18W</t>
  </si>
  <si>
    <t xml:space="preserve">Utility/stair/garage</t>
  </si>
  <si>
    <t xml:space="preserve">Q = double tube symbol count</t>
  </si>
  <si>
    <t xml:space="preserve">ELE-034</t>
  </si>
  <si>
    <t xml:space="preserve">Decorative: chandelier, wall lights, mirror lights, step lights</t>
  </si>
  <si>
    <t xml:space="preserve">Owner choice</t>
  </si>
  <si>
    <t xml:space="preserve">Drawing/lounge/stairs</t>
  </si>
  <si>
    <t xml:space="preserve">Q = symbol count per type</t>
  </si>
  <si>
    <t xml:space="preserve">Usually PC sum.</t>
  </si>
  <si>
    <t xml:space="preserve">Provisional</t>
  </si>
  <si>
    <t xml:space="preserve">ELE-035</t>
  </si>
  <si>
    <t xml:space="preserve">Weatherproof external wall lights / gate lights</t>
  </si>
  <si>
    <t xml:space="preserve">IP65</t>
  </si>
  <si>
    <t xml:space="preserve">Elevations, porch, gate</t>
  </si>
  <si>
    <t xml:space="preserve">Q = WP wall light symbol count</t>
  </si>
  <si>
    <t xml:space="preserve">ELE-036</t>
  </si>
  <si>
    <t xml:space="preserve">Fans</t>
  </si>
  <si>
    <t xml:space="preserve">Ceiling fans 56in (energy-efficient DC/AC)</t>
  </si>
  <si>
    <t xml:space="preserve">Pak Fan/GFC/Royal</t>
  </si>
  <si>
    <t xml:space="preserve">Rooms, lounges</t>
  </si>
  <si>
    <t xml:space="preserve">Q = ceiling fan symbol count</t>
  </si>
  <si>
    <t xml:space="preserve">Fan hooks cast in slab (see JNR/ELE-037).</t>
  </si>
  <si>
    <t xml:space="preserve">ELE-037</t>
  </si>
  <si>
    <t xml:space="preserve">Fan hook box / MS hook cast in slab</t>
  </si>
  <si>
    <t xml:space="preserve">12 mm MS hook + box</t>
  </si>
  <si>
    <t xml:space="preserve">Every ceiling fan</t>
  </si>
  <si>
    <t xml:space="preserve">Q = ceiling fan count</t>
  </si>
  <si>
    <t xml:space="preserve">Must be placed before slab casting.</t>
  </si>
  <si>
    <t xml:space="preserve">COUNT(fan)</t>
  </si>
  <si>
    <t xml:space="preserve">ELE-038</t>
  </si>
  <si>
    <t xml:space="preserve">Metering</t>
  </si>
  <si>
    <t xml:space="preserve">Meter box / KWH meter enclosure (IESCO spec)</t>
  </si>
  <si>
    <t xml:space="preserve">Sheet steel/GRP</t>
  </si>
  <si>
    <t xml:space="preserve">Boundary wall at gate</t>
  </si>
  <si>
    <t xml:space="preserve">Q = 1 per connection</t>
  </si>
  <si>
    <t xml:space="preserve">IESCO connection fee &amp; demand notice outside material scope.</t>
  </si>
  <si>
    <t xml:space="preserve">IESCO</t>
  </si>
  <si>
    <t xml:space="preserve">ELE-039</t>
  </si>
  <si>
    <t xml:space="preserve">Tools/consumables</t>
  </si>
  <si>
    <t xml:space="preserve">Electrical consumables (PVC tape, lugs, glands, ferrules, cable ties)</t>
  </si>
  <si>
    <t xml:space="preserve">All</t>
  </si>
  <si>
    <t xml:space="preserve">Q = % of electrical materials (default 2%)</t>
  </si>
  <si>
    <t xml:space="preserve">PCT(EL,2%)</t>
  </si>
  <si>
    <t xml:space="preserve">ELE-040</t>
  </si>
  <si>
    <t xml:space="preserve">Lightning protection (air terminal + down conductor) - optional</t>
  </si>
  <si>
    <t xml:space="preserve">Cu tape 25x3</t>
  </si>
  <si>
    <t xml:space="preserve">Mumty roof</t>
  </si>
  <si>
    <t xml:space="preserve">Q = 1 set if required</t>
  </si>
  <si>
    <t xml:space="preserve">Risk assessment</t>
  </si>
  <si>
    <t xml:space="preserve">IEC 62305</t>
  </si>
  <si>
    <t xml:space="preserve">HVC-001</t>
  </si>
  <si>
    <t xml:space="preserve">HVAC &amp; Ventilation</t>
  </si>
  <si>
    <t xml:space="preserve">Equipment</t>
  </si>
  <si>
    <t xml:space="preserve">Split AC units 1-2 ton (inverter) - owner supply typically</t>
  </si>
  <si>
    <t xml:space="preserve">R410A/R32 inverter</t>
  </si>
  <si>
    <t xml:space="preserve">Rooms marked split unit</t>
  </si>
  <si>
    <t xml:space="preserve">Q = split unit symbol count; tonnage ~ room area (sft)/ K_AC_SFT_TON</t>
  </si>
  <si>
    <t xml:space="preserve">Symbols, room area</t>
  </si>
  <si>
    <t xml:space="preserve">Rule of thumb 1 ton per 120-150 sft in Islamabad (verify).</t>
  </si>
  <si>
    <t xml:space="preserve">HVAC</t>
  </si>
  <si>
    <t xml:space="preserve">HVC-002</t>
  </si>
  <si>
    <t xml:space="preserve">Pre-piping</t>
  </si>
  <si>
    <t xml:space="preserve">Copper refrigerant pipe pair 1/4in + 1/2in (or 3/8+5/8 for 2 ton)</t>
  </si>
  <si>
    <t xml:space="preserve">ACR grade</t>
  </si>
  <si>
    <t xml:space="preserve">Indoor-outdoor unit connection</t>
  </si>
  <si>
    <t xml:space="preserve">Q = Σ [WI qty × Recipe coefficient] × (1 + Wastage %)  — driven by WI-HV-01 (see Recipes)</t>
  </si>
  <si>
    <t xml:space="preserve">AC count, route length</t>
  </si>
  <si>
    <t xml:space="preserve">Pre-piping before plaster avoids later chasing - frequently overlooked.</t>
  </si>
  <si>
    <t xml:space="preserve">ASTM B280</t>
  </si>
  <si>
    <t xml:space="preserve">WI-HV-01</t>
  </si>
  <si>
    <t xml:space="preserve">HVC-003</t>
  </si>
  <si>
    <t xml:space="preserve">Closed-cell rubber insulation (Armaflex type) for Cu pipes</t>
  </si>
  <si>
    <t xml:space="preserve">9-13 mm</t>
  </si>
  <si>
    <t xml:space="preserve">Refrigerant pipes</t>
  </si>
  <si>
    <t xml:space="preserve">AC count</t>
  </si>
  <si>
    <t xml:space="preserve">HVC-004</t>
  </si>
  <si>
    <t xml:space="preserve">AC interconnecting cable 4-core 1.5 mm2</t>
  </si>
  <si>
    <t xml:space="preserve">Indoor-outdoor</t>
  </si>
  <si>
    <t xml:space="preserve">HVC-005</t>
  </si>
  <si>
    <t xml:space="preserve">Condensate drain pipe (uPVC 3/4-1in)</t>
  </si>
  <si>
    <t xml:space="preserve">To nearest floor trap (drawing note)</t>
  </si>
  <si>
    <t xml:space="preserve">HVC-006</t>
  </si>
  <si>
    <t xml:space="preserve">Support</t>
  </si>
  <si>
    <t xml:space="preserve">Outdoor unit MS bracket / stand (galvanised)</t>
  </si>
  <si>
    <t xml:space="preserve">Each AC</t>
  </si>
  <si>
    <t xml:space="preserve">HVC-007</t>
  </si>
  <si>
    <t xml:space="preserve">Sleeve</t>
  </si>
  <si>
    <t xml:space="preserve">Wall sleeve for AC piping (uPVC 3in)</t>
  </si>
  <si>
    <t xml:space="preserve">External wall penetration</t>
  </si>
  <si>
    <t xml:space="preserve">Leave in masonry during construction.</t>
  </si>
  <si>
    <t xml:space="preserve">HVC-008</t>
  </si>
  <si>
    <t xml:space="preserve">Ventilation</t>
  </si>
  <si>
    <t xml:space="preserve">Exhaust fan 8-12in with louvre/shutter</t>
  </si>
  <si>
    <t xml:space="preserve">Bath/kitchen</t>
  </si>
  <si>
    <t xml:space="preserve">Baths, kitchens</t>
  </si>
  <si>
    <t xml:space="preserve">Q = Σ [WI qty × Recipe coefficient] × (1 + Wastage %)  — driven by WI-HV-02 (see Recipes)</t>
  </si>
  <si>
    <t xml:space="preserve">Exhaust fan symbols</t>
  </si>
  <si>
    <t xml:space="preserve">WI-HV-02</t>
  </si>
  <si>
    <t xml:space="preserve">HVC-009</t>
  </si>
  <si>
    <t xml:space="preserve">Kitchen hood duct (aluminium flexible/GI 6in) + wall cowl</t>
  </si>
  <si>
    <t xml:space="preserve">6in</t>
  </si>
  <si>
    <t xml:space="preserve">Kitchen hood</t>
  </si>
  <si>
    <t xml:space="preserve">Q = LEN(hood to external wall) per kitchen (default 8 rft)  × (1 + Wastage %)</t>
  </si>
  <si>
    <t xml:space="preserve">Kitchen layout</t>
  </si>
  <si>
    <t xml:space="preserve">HVC-010</t>
  </si>
  <si>
    <t xml:space="preserve">Exhaust fan opening frame / louvre (aluminium)</t>
  </si>
  <si>
    <t xml:space="preserve">Baths/kitchens</t>
  </si>
  <si>
    <t xml:space="preserve">Q = exhaust fan count</t>
  </si>
  <si>
    <t xml:space="preserve">HVC-011</t>
  </si>
  <si>
    <t xml:space="preserve">Ducted AC</t>
  </si>
  <si>
    <t xml:space="preserve">Ducted/VRF provision: GI duct, grilles (side/bottom throw)</t>
  </si>
  <si>
    <t xml:space="preserve">Where 'grill A/C' symbols used</t>
  </si>
  <si>
    <t xml:space="preserve">Q = duct surface area per layout; grilles = symbol count  × (1 + Wastage %)</t>
  </si>
  <si>
    <t xml:space="preserve">HVAC layout (missing)</t>
  </si>
  <si>
    <t xml:space="preserve">Symbols exist in legend but no HVAC layout drawings - flagged.</t>
  </si>
  <si>
    <t xml:space="preserve">AREA(duct)+COUNT(grille)</t>
  </si>
  <si>
    <t xml:space="preserve">sh.31 grill A/C symbols</t>
  </si>
  <si>
    <t xml:space="preserve">HVC-012</t>
  </si>
  <si>
    <t xml:space="preserve">Roof thermal insulation (XPS/EPS board 1-2in) - see WPF roof system</t>
  </si>
  <si>
    <t xml:space="preserve">Roof slab</t>
  </si>
  <si>
    <t xml:space="preserve">See WI-RF roof treatment  × (1 + Wastage %)</t>
  </si>
  <si>
    <t xml:space="preserve">Roof area</t>
  </si>
  <si>
    <t xml:space="preserve">Major energy saver in Islamabad summers.</t>
  </si>
  <si>
    <t xml:space="preserve">AREA(roof)</t>
  </si>
  <si>
    <t xml:space="preserve">HVC-013</t>
  </si>
  <si>
    <t xml:space="preserve">Heating</t>
  </si>
  <si>
    <t xml:space="preserve">Gas heater points / room heater provisions</t>
  </si>
  <si>
    <t xml:space="preserve">Bedrooms/lounges (winter)</t>
  </si>
  <si>
    <t xml:space="preserve">Q = heater points (owner input)</t>
  </si>
  <si>
    <t xml:space="preserve">Islamabad winters - commonly requested gas points.</t>
  </si>
  <si>
    <t xml:space="preserve">SOL-001</t>
  </si>
  <si>
    <t xml:space="preserve">Solar &amp; Backup Power</t>
  </si>
  <si>
    <t xml:space="preserve">Provision</t>
  </si>
  <si>
    <t xml:space="preserve">Solar PV provision: DC conduit roof-&gt;inverter, earthing, mounting anchor points</t>
  </si>
  <si>
    <t xml:space="preserve">1in conduit</t>
  </si>
  <si>
    <t xml:space="preserve">Roof to inverter location</t>
  </si>
  <si>
    <t xml:space="preserve">Q = LEN(roof to inverter) conduit + 1 set anchors  × (1 + Wastage %)</t>
  </si>
  <si>
    <t xml:space="preserve">Roof layout</t>
  </si>
  <si>
    <t xml:space="preserve">Very common retrofit in PK (net metering) - provision at construction avoids breakage.</t>
  </si>
  <si>
    <t xml:space="preserve">LEN+LS</t>
  </si>
  <si>
    <t xml:space="preserve">SOL-002</t>
  </si>
  <si>
    <t xml:space="preserve">PV</t>
  </si>
  <si>
    <t xml:space="preserve">PV modules, inverter, batteries, structure (if in scope)</t>
  </si>
  <si>
    <t xml:space="preserve">Mono PERC/TOPCon 550W+, hybrid inverter</t>
  </si>
  <si>
    <t xml:space="preserve">kW</t>
  </si>
  <si>
    <t xml:space="preserve">Q = system kW (owner input); panels = kW*1000/Wp</t>
  </si>
  <si>
    <t xml:space="preserve">System size</t>
  </si>
  <si>
    <t xml:space="preserve">INPUT</t>
  </si>
  <si>
    <t xml:space="preserve">SOL-003</t>
  </si>
  <si>
    <t xml:space="preserve">UPS/inverter point + battery space ventilation</t>
  </si>
  <si>
    <t xml:space="preserve">Utility area</t>
  </si>
  <si>
    <t xml:space="preserve">EXT-001</t>
  </si>
  <si>
    <t xml:space="preserve">External Works</t>
  </si>
  <si>
    <t xml:space="preserve">Paving</t>
  </si>
  <si>
    <t xml:space="preserve">Paving: concrete interlocking pavers / exterior tiles / stamped concrete</t>
  </si>
  <si>
    <t xml:space="preserve">60-80 mm pavers or anti-skid tiles</t>
  </si>
  <si>
    <t xml:space="preserve">Porch, driveway, terraces, lawn edges</t>
  </si>
  <si>
    <t xml:space="preserve">Q = Σ [WI qty × Recipe coefficient] × (1 + Wastage %)  — driven by WI-FL-07 (see Recipes)</t>
  </si>
  <si>
    <t xml:space="preserve">Porch &amp; paved area</t>
  </si>
  <si>
    <t xml:space="preserve">WI-FL-07</t>
  </si>
  <si>
    <t xml:space="preserve">sh.1-2 (porch)</t>
  </si>
  <si>
    <t xml:space="preserve">EXT-002</t>
  </si>
  <si>
    <t xml:space="preserve">Kerb stones / edging</t>
  </si>
  <si>
    <t xml:space="preserve">Precast concrete</t>
  </si>
  <si>
    <t xml:space="preserve">Paver edges, planters</t>
  </si>
  <si>
    <t xml:space="preserve">Q = perimeter of paved areas not bounded by walls  × (1 + Wastage %)</t>
  </si>
  <si>
    <t xml:space="preserve">LEN(edge)</t>
  </si>
  <si>
    <t xml:space="preserve">EXT-003</t>
  </si>
  <si>
    <t xml:space="preserve">Sand bedding for pavers (2in compacted)</t>
  </si>
  <si>
    <t xml:space="preserve">Coarse sand</t>
  </si>
  <si>
    <t xml:space="preserve">Under pavers</t>
  </si>
  <si>
    <t xml:space="preserve">Paved area</t>
  </si>
  <si>
    <t xml:space="preserve">EXT-004</t>
  </si>
  <si>
    <t xml:space="preserve">Landscape</t>
  </si>
  <si>
    <t xml:space="preserve">Garden soil / sweet soil for planters &amp; lawn</t>
  </si>
  <si>
    <t xml:space="preserve">Screened</t>
  </si>
  <si>
    <t xml:space="preserve">Planters (drawing) &amp; lawn</t>
  </si>
  <si>
    <t xml:space="preserve">Q = planter area x fill depth (default 1.5 ft) + lawn area x 0.5 ft  × (1 + Wastage %)</t>
  </si>
  <si>
    <t xml:space="preserve">Planter/lawn area</t>
  </si>
  <si>
    <t xml:space="preserve">AREA*depth</t>
  </si>
  <si>
    <t xml:space="preserve">sh.2 planter</t>
  </si>
  <si>
    <t xml:space="preserve">EXT-005</t>
  </si>
  <si>
    <t xml:space="preserve">Grass (sod/seed) and plants</t>
  </si>
  <si>
    <t xml:space="preserve">Lawn</t>
  </si>
  <si>
    <t xml:space="preserve">Q = lawn area  × (1 + Wastage %)</t>
  </si>
  <si>
    <t xml:space="preserve">AREA(lawn)</t>
  </si>
  <si>
    <t xml:space="preserve">EXT-006</t>
  </si>
  <si>
    <t xml:space="preserve">Apron</t>
  </si>
  <si>
    <t xml:space="preserve">Plinth protection apron (PCC 3in on brick soling) around building</t>
  </si>
  <si>
    <t xml:space="preserve">1:4:8 or 1:2:4</t>
  </si>
  <si>
    <t xml:space="preserve">External perimeter where not paved</t>
  </si>
  <si>
    <t xml:space="preserve">Q = exposed perimeter x apron width (2.5 ft)</t>
  </si>
  <si>
    <t xml:space="preserve">Building footprint</t>
  </si>
  <si>
    <t xml:space="preserve">Materials via CON/MAS recipes.</t>
  </si>
  <si>
    <t xml:space="preserve">LEN(ext perim)*W</t>
  </si>
  <si>
    <t xml:space="preserve">EXT-007</t>
  </si>
  <si>
    <t xml:space="preserve">Boundary</t>
  </si>
  <si>
    <t xml:space="preserve">Boundary wall (9in brick on strip foundation, coping) - materials via WI-EX-01</t>
  </si>
  <si>
    <t xml:space="preserve">7 ft high typical</t>
  </si>
  <si>
    <t xml:space="preserve">Plot perimeter excluding front/shared</t>
  </si>
  <si>
    <t xml:space="preserve">See WI-EX-01 recipe (K_BW_*)</t>
  </si>
  <si>
    <t xml:space="preserve">Plot perimeter, shared walls</t>
  </si>
  <si>
    <t xml:space="preserve">Shared party walls common in 5 marla - input.</t>
  </si>
  <si>
    <t xml:space="preserve">CDA byelaws</t>
  </si>
  <si>
    <t xml:space="preserve">LEN(boundary)</t>
  </si>
  <si>
    <t xml:space="preserve">EXT-008</t>
  </si>
  <si>
    <t xml:space="preserve">Gate</t>
  </si>
  <si>
    <t xml:space="preserve">Main gate (MS/wrought iron sliding or swing) with lock &amp; paint</t>
  </si>
  <si>
    <t xml:space="preserve">11 ft opening (drawing)</t>
  </si>
  <si>
    <t xml:space="preserve">Car gate + wicket</t>
  </si>
  <si>
    <t xml:space="preserve">Q = gate width x height  × (1 + Wastage %)</t>
  </si>
  <si>
    <t xml:space="preserve">Gate width (~11 ft)</t>
  </si>
  <si>
    <t xml:space="preserve">AREA(gate)</t>
  </si>
  <si>
    <t xml:space="preserve">sh.2</t>
  </si>
  <si>
    <t xml:space="preserve">EXT-009</t>
  </si>
  <si>
    <t xml:space="preserve">Signage</t>
  </si>
  <si>
    <t xml:space="preserve">House name plate / number plate</t>
  </si>
  <si>
    <t xml:space="preserve">Brass/acrylic/stone</t>
  </si>
  <si>
    <t xml:space="preserve">Gate pillar</t>
  </si>
  <si>
    <t xml:space="preserve">EXT-010</t>
  </si>
  <si>
    <t xml:space="preserve">Front elevation cladding (stone/tile/brick slips/HPL/wood-plastic)</t>
  </si>
  <si>
    <t xml:space="preserve">As per elevation</t>
  </si>
  <si>
    <t xml:space="preserve">Front elevation features</t>
  </si>
  <si>
    <t xml:space="preserve">Q = measured elevation cladding areas  × (1 + Wastage %)</t>
  </si>
  <si>
    <t xml:space="preserve">Elevation working details</t>
  </si>
  <si>
    <t xml:space="preserve">Elevations show feature bands - material not specified.</t>
  </si>
  <si>
    <t xml:space="preserve">AREA(elev cladding)</t>
  </si>
  <si>
    <t xml:space="preserve">sh.5, 11</t>
  </si>
  <si>
    <t xml:space="preserve">EXT-011</t>
  </si>
  <si>
    <t xml:space="preserve">Railing</t>
  </si>
  <si>
    <t xml:space="preserve">Terrace/balcony/stair railing (SS/MS/glass)</t>
  </si>
  <si>
    <t xml:space="preserve">SS 304 / 10mm glass</t>
  </si>
  <si>
    <t xml:space="preserve">Balconies, stairs, terraces</t>
  </si>
  <si>
    <t xml:space="preserve">Q = LEN(railing)  × (1 + Wastage %)</t>
  </si>
  <si>
    <t xml:space="preserve">Plans/elevations</t>
  </si>
  <si>
    <t xml:space="preserve">sh.3, 6</t>
  </si>
  <si>
    <t xml:space="preserve">EXT-012</t>
  </si>
  <si>
    <t xml:space="preserve">Car porch</t>
  </si>
  <si>
    <t xml:space="preserve">Porch shade / pergola (optional)</t>
  </si>
  <si>
    <t xml:space="preserve">MS/wood</t>
  </si>
  <si>
    <t xml:space="preserve">Porch</t>
  </si>
  <si>
    <t xml:space="preserve">Q = AREA  × (1 + Wastage %)</t>
  </si>
  <si>
    <t xml:space="preserve">RWH-001</t>
  </si>
  <si>
    <t xml:space="preserve">Rainwater Harvesting</t>
  </si>
  <si>
    <t xml:space="preserve">Recharge well</t>
  </si>
  <si>
    <t xml:space="preserve">Blank casing pipe uPVC/PVC 6-8in</t>
  </si>
  <si>
    <t xml:space="preserve">PN6-10</t>
  </si>
  <si>
    <t xml:space="preserve">Recharge well bore</t>
  </si>
  <si>
    <t xml:space="preserve">Q = Σ [WI qty × Recipe coefficient] × (1 + Wastage %)  — driven by WI-EX-02 (see Recipes)</t>
  </si>
  <si>
    <t xml:space="preserve">Well depth (K_RWH_DEPTH)</t>
  </si>
  <si>
    <t xml:space="preserve">CDA requires rainwater harvesting/recharge provisions (2025-26) - confirm current by-law.</t>
  </si>
  <si>
    <t xml:space="preserve">WI-EX-02</t>
  </si>
  <si>
    <t xml:space="preserve">RWH-002</t>
  </si>
  <si>
    <t xml:space="preserve">Filter media (graded gravel, coarse sand, charcoal)</t>
  </si>
  <si>
    <t xml:space="preserve">Graded layers</t>
  </si>
  <si>
    <t xml:space="preserve">Filter chamber</t>
  </si>
  <si>
    <t xml:space="preserve">Well count</t>
  </si>
  <si>
    <t xml:space="preserve">RWH-003</t>
  </si>
  <si>
    <t xml:space="preserve">Silt/desilting chamber (brick/RCC) with cover</t>
  </si>
  <si>
    <t xml:space="preserve">3x3x3 ft typical</t>
  </si>
  <si>
    <t xml:space="preserve">Before recharge bore</t>
  </si>
  <si>
    <t xml:space="preserve">RWH-004</t>
  </si>
  <si>
    <t xml:space="preserve">First-flush diverter</t>
  </si>
  <si>
    <t xml:space="preserve">Roof downpipe connection</t>
  </si>
  <si>
    <t xml:space="preserve">RWH-005</t>
  </si>
  <si>
    <t xml:space="preserve">Boring charges (drilling) for recharge well</t>
  </si>
  <si>
    <t xml:space="preserve">Per ft</t>
  </si>
  <si>
    <t xml:space="preserve">Q = K_RWH_DEPTH x wells</t>
  </si>
  <si>
    <t xml:space="preserve">Depth</t>
  </si>
  <si>
    <t xml:space="preserve">Service item - include in BOQ.</t>
  </si>
  <si>
    <t xml:space="preserve">K*COUNT</t>
  </si>
  <si>
    <t xml:space="preserve">RWH-006</t>
  </si>
  <si>
    <t xml:space="preserve">Collection</t>
  </si>
  <si>
    <t xml:space="preserve">Collection pipes roof RWP -&gt; chamber (uPVC 4in)</t>
  </si>
  <si>
    <t xml:space="preserve">Ground-level RWP connections</t>
  </si>
  <si>
    <t xml:space="preserve">Q = LEN(RWP feet to chamber)  × (1 + Wastage %)</t>
  </si>
  <si>
    <t xml:space="preserve">RWH-007</t>
  </si>
  <si>
    <t xml:space="preserve">Slotted/screen pipe uPVC 6-8in</t>
  </si>
  <si>
    <t xml:space="preserve">Slot 1-2 mm</t>
  </si>
  <si>
    <t xml:space="preserve">Recharge zone</t>
  </si>
  <si>
    <t xml:space="preserve">Well depth</t>
  </si>
  <si>
    <t xml:space="preserve">FLS-001</t>
  </si>
  <si>
    <t xml:space="preserve">Fire &amp; Life Safety</t>
  </si>
  <si>
    <t xml:space="preserve">Detection</t>
  </si>
  <si>
    <t xml:space="preserve">Smoke/heat detectors (battery or mains)</t>
  </si>
  <si>
    <t xml:space="preserve">EN 14604</t>
  </si>
  <si>
    <t xml:space="preserve">Kitchens, lounges, stair</t>
  </si>
  <si>
    <t xml:space="preserve">Q = 1 per kitchen + 1 per floor lobby/stair</t>
  </si>
  <si>
    <t xml:space="preserve">Room list</t>
  </si>
  <si>
    <t xml:space="preserve">FLS-002</t>
  </si>
  <si>
    <t xml:space="preserve">Suppression</t>
  </si>
  <si>
    <t xml:space="preserve">Portable fire extinguisher (ABC 6 kg / CO2)</t>
  </si>
  <si>
    <t xml:space="preserve">Each floor + kitchen</t>
  </si>
  <si>
    <t xml:space="preserve">Q = 1 per floor (min)</t>
  </si>
  <si>
    <t xml:space="preserve">Floors</t>
  </si>
  <si>
    <t xml:space="preserve">COUNT(floors)</t>
  </si>
  <si>
    <t xml:space="preserve">FLS-003</t>
  </si>
  <si>
    <t xml:space="preserve">Gas leak detector (kitchen)</t>
  </si>
  <si>
    <t xml:space="preserve">Kitchens with gas</t>
  </si>
  <si>
    <t xml:space="preserve">Q = kitchen count</t>
  </si>
  <si>
    <t xml:space="preserve">MSC-001</t>
  </si>
  <si>
    <t xml:space="preserve">Miscellaneous &amp; Consumables</t>
  </si>
  <si>
    <t xml:space="preserve">Water</t>
  </si>
  <si>
    <t xml:space="preserve">Construction water (tanker/bore) for mixing &amp; curing</t>
  </si>
  <si>
    <t xml:space="preserve">Potable</t>
  </si>
  <si>
    <t xml:space="preserve">All concrete/masonry/plaster</t>
  </si>
  <si>
    <t xml:space="preserve">Q = Σ [WI qty × Recipe coefficient] × (1 + Wastage %)  — driven by WI-PRE-02 (see Recipes)</t>
  </si>
  <si>
    <t xml:space="preserve">Total cement bags (K_WATER_PER_BAG)</t>
  </si>
  <si>
    <t xml:space="preserve">Islamabad: tanker supply is common; include cost.</t>
  </si>
  <si>
    <t xml:space="preserve">WI-PRE-02</t>
  </si>
  <si>
    <t xml:space="preserve">S0-S8</t>
  </si>
  <si>
    <t xml:space="preserve">MSC-002</t>
  </si>
  <si>
    <t xml:space="preserve">Curing compound / hessian cloth</t>
  </si>
  <si>
    <t xml:space="preserve">Slabs &amp; exposed concrete</t>
  </si>
  <si>
    <t xml:space="preserve">Q = slab area (if compound used)  × (1 + Wastage %)</t>
  </si>
  <si>
    <t xml:space="preserve">Slab area</t>
  </si>
  <si>
    <t xml:space="preserve">AREA(slab)</t>
  </si>
  <si>
    <t xml:space="preserve">MSC-003</t>
  </si>
  <si>
    <t xml:space="preserve">Binding wire (see RBR) / nails / shuttering oil (see FRM)</t>
  </si>
  <si>
    <t xml:space="preserve">Recipe-driven in RBR/FRM</t>
  </si>
  <si>
    <t xml:space="preserve">Cross-reference only.</t>
  </si>
  <si>
    <t xml:space="preserve">S1-S4</t>
  </si>
  <si>
    <t xml:space="preserve">MSC-004</t>
  </si>
  <si>
    <t xml:space="preserve">Anti-termite</t>
  </si>
  <si>
    <t xml:space="preserve">Anti-termite soil treatment (chemical)</t>
  </si>
  <si>
    <t xml:space="preserve">Imidacloprid/chlorpyrifos per label</t>
  </si>
  <si>
    <t xml:space="preserve">Foundation trenches &amp; under floor</t>
  </si>
  <si>
    <t xml:space="preserve">Q = plinth area + trench sides area; chemical L = area x label rate  × (1 + Wastage %)</t>
  </si>
  <si>
    <t xml:space="preserve">Plinth area</t>
  </si>
  <si>
    <t xml:space="preserve">Frequently overlooked; not in drawings.</t>
  </si>
  <si>
    <t xml:space="preserve">IS 6313 (ref)</t>
  </si>
  <si>
    <t xml:space="preserve">AREA(plinth)</t>
  </si>
  <si>
    <t xml:space="preserve">MSC-005</t>
  </si>
  <si>
    <t xml:space="preserve">Temporary protection (floor covering sheets, corner guards)</t>
  </si>
  <si>
    <t xml:space="preserve">Finished floors</t>
  </si>
  <si>
    <t xml:space="preserve">Q = finished floor area x 0.5</t>
  </si>
  <si>
    <t xml:space="preserve">Floor area</t>
  </si>
  <si>
    <t xml:space="preserve">MSC-006</t>
  </si>
  <si>
    <t xml:space="preserve">Cleaning</t>
  </si>
  <si>
    <t xml:space="preserve">Final cleaning materials, acid wash</t>
  </si>
  <si>
    <t xml:space="preserve">Handover</t>
  </si>
  <si>
    <t xml:space="preserve">MSC-007</t>
  </si>
  <si>
    <t xml:space="preserve">Testing</t>
  </si>
  <si>
    <t xml:space="preserve">Testing: cube tests, rebar tensile, pipe pressure tests (100 psig water / 20 psig gas), earth resistance</t>
  </si>
  <si>
    <t xml:space="preserve">As per drawing notes</t>
  </si>
  <si>
    <t xml:space="preserve">LS per test plan</t>
  </si>
  <si>
    <t xml:space="preserve">Test plan</t>
  </si>
  <si>
    <t xml:space="preserve">S1-S9</t>
  </si>
  <si>
    <t xml:space="preserve">sh.25 notes</t>
  </si>
  <si>
    <t xml:space="preserve">MSC-008</t>
  </si>
  <si>
    <t xml:space="preserve">Approvals</t>
  </si>
  <si>
    <t xml:space="preserve">CDA/RDA approvals, IESCO/SNGPL/WASA connections (non-material)</t>
  </si>
  <si>
    <t xml:space="preserve">Statutory</t>
  </si>
  <si>
    <t xml:space="preserve">Outside MTO - track as cost line</t>
  </si>
  <si>
    <t xml:space="preserve">MSC-009</t>
  </si>
  <si>
    <t xml:space="preserve">Debris</t>
  </si>
  <si>
    <t xml:space="preserve">Debris removal / malba disposal (trips)</t>
  </si>
  <si>
    <t xml:space="preserve">Tractor trolley</t>
  </si>
  <si>
    <t xml:space="preserve">trip</t>
  </si>
  <si>
    <t xml:space="preserve">Throughout</t>
  </si>
  <si>
    <t xml:space="preserve">Q = excavation surplus cft / trolley capacity (~100 cft) + allowance</t>
  </si>
  <si>
    <t xml:space="preserve">Excavation balance</t>
  </si>
  <si>
    <t xml:space="preserve">VOL/100</t>
  </si>
  <si>
    <t xml:space="preserve">S0-S9</t>
  </si>
  <si>
    <t xml:space="preserve">WI_ID</t>
  </si>
  <si>
    <t xml:space="preserve">Division</t>
  </si>
  <si>
    <t xml:space="preserve">Work Item Description</t>
  </si>
  <si>
    <t xml:space="preserve">Unit (FPS)</t>
  </si>
  <si>
    <t xml:space="preserve">Unit (SI)</t>
  </si>
  <si>
    <t xml:space="preserve">Measurement Rule</t>
  </si>
  <si>
    <t xml:space="preserve">Quantity Formula (engine expression)</t>
  </si>
  <si>
    <t xml:space="preserve">Default Specification</t>
  </si>
  <si>
    <t xml:space="preserve">No. of Recipe Lines</t>
  </si>
  <si>
    <t xml:space="preserve">WI-PRE-01</t>
  </si>
  <si>
    <t xml:space="preserve">Preliminaries</t>
  </si>
  <si>
    <t xml:space="preserve">Site clearance, setting out &amp; temporary works</t>
  </si>
  <si>
    <t xml:space="preserve">Lump sum per project</t>
  </si>
  <si>
    <t xml:space="preserve">SITE_W, SITE_D</t>
  </si>
  <si>
    <t xml:space="preserve">Hoarding, store, temporary water/electricity</t>
  </si>
  <si>
    <t xml:space="preserve">PRELIM-01</t>
  </si>
  <si>
    <t xml:space="preserve">Construction water (tanker / bore)</t>
  </si>
  <si>
    <t xml:space="preserve">Derived from total cement consumption</t>
  </si>
  <si>
    <t xml:space="preserve">SUM(cement_bags) * K_WATER_L_BAG / 4.546</t>
  </si>
  <si>
    <t xml:space="preserve">Tanker water if no CDA/bore supply</t>
  </si>
  <si>
    <t xml:space="preserve">WI-EW-01</t>
  </si>
  <si>
    <t xml:space="preserve">Earthwork</t>
  </si>
  <si>
    <t xml:space="preserve">Excavation for strip foundations</t>
  </si>
  <si>
    <t xml:space="preserve">Trench length along wall centreline x (bottom width of PCC + 2 x working space) x depth below NSL; no deduction for pipes &lt;6in</t>
  </si>
  <si>
    <t xml:space="preserve">SUM(strip.len_cl * (strip.pcc_w + 2*P_WORKSPACE) * strip.depth)</t>
  </si>
  <si>
    <t xml:space="preserve">FDN_STRIP_LEN, FDN_SECTION, FDN_DEPTH</t>
  </si>
  <si>
    <t xml:space="preserve">Ordinary soil</t>
  </si>
  <si>
    <t xml:space="preserve">EXC-01</t>
  </si>
  <si>
    <t xml:space="preserve">WI-EW-02</t>
  </si>
  <si>
    <t xml:space="preserve">Excavation for isolated column footings</t>
  </si>
  <si>
    <t xml:space="preserve">(L+2ws) x (B+2ws) x D per footing x count</t>
  </si>
  <si>
    <t xml:space="preserve">SUM(ftg.n * (ftg.L+2*P_WORKSPACE)*(ftg.B+2*P_WORKSPACE)*ftg.D)</t>
  </si>
  <si>
    <t xml:space="preserve">FTG_ISO</t>
  </si>
  <si>
    <t xml:space="preserve">WI-EW-03</t>
  </si>
  <si>
    <t xml:space="preserve">Excavation for tanks, septic, manholes, sewer trenches</t>
  </si>
  <si>
    <t xml:space="preserve">External plan dims + working space x depth; trench = length x 2ft x avg depth</t>
  </si>
  <si>
    <t xml:space="preserve">SUM(tank.ext_L*tank.ext_B*tank.D) + sewer.len*2*sewer.avg_depth</t>
  </si>
  <si>
    <t xml:space="preserve">TANK_UG, TANK_SEPTIC, SEWER_EXT_LEN, MH_COUNT</t>
  </si>
  <si>
    <t xml:space="preserve">WI-EW-04</t>
  </si>
  <si>
    <t xml:space="preserve">Backfill with excavated earth, compacted in 6in layers</t>
  </si>
  <si>
    <t xml:space="preserve">Excavation minus volume of PCC, footing, masonry below NGL</t>
  </si>
  <si>
    <t xml:space="preserve">WI-EW-01 + WI-EW-02 - V(below NGL structures)</t>
  </si>
  <si>
    <t xml:space="preserve">Derived</t>
  </si>
  <si>
    <t xml:space="preserve">BACKFILL-01</t>
  </si>
  <si>
    <t xml:space="preserve">Plinth filling with imported earth, compacted</t>
  </si>
  <si>
    <t xml:space="preserve">GF internal floor area x (plinth height - floor build-up thickness)</t>
  </si>
  <si>
    <t xml:space="preserve">GF.net_floor_area * (H_PLINTH - T_FLOOR_BUILDUP)</t>
  </si>
  <si>
    <t xml:space="preserve">H_PLINTH, ROOM (GF), T_FLOOR_BUILDUP</t>
  </si>
  <si>
    <t xml:space="preserve">Good earth free of organics</t>
  </si>
  <si>
    <t xml:space="preserve">Sand filling under floors</t>
  </si>
  <si>
    <t xml:space="preserve">GF floor area x sand thickness</t>
  </si>
  <si>
    <t xml:space="preserve">GF.net_floor_area * P_SAND_FILL_T</t>
  </si>
  <si>
    <t xml:space="preserve">ROOM (GF)</t>
  </si>
  <si>
    <t xml:space="preserve">3-4 in</t>
  </si>
  <si>
    <t xml:space="preserve">Anti-termite treatment (foundation trenches, plinth, floor)</t>
  </si>
  <si>
    <t xml:space="preserve">m2</t>
  </si>
  <si>
    <t xml:space="preserve">Trench bottom+sides area + plinth fill surface</t>
  </si>
  <si>
    <t xml:space="preserve">WI-EW-01 surfaces + GF.floor_area</t>
  </si>
  <si>
    <t xml:space="preserve">Chlorpyrifos/imidacloprid emulsion per label</t>
  </si>
  <si>
    <t xml:space="preserve">Polythene vapour barrier under GF floor PCC</t>
  </si>
  <si>
    <t xml:space="preserve">GF floor area</t>
  </si>
  <si>
    <t xml:space="preserve">GF.net_floor_area</t>
  </si>
  <si>
    <t xml:space="preserve">Disposal of surplus earth</t>
  </si>
  <si>
    <t xml:space="preserve">Excavation - backfill reused (loose)</t>
  </si>
  <si>
    <t xml:space="preserve">(WI-EW-01+WI-EW-02+WI-EW-03-WI-EW-04) * P_BULKING</t>
  </si>
  <si>
    <t xml:space="preserve">WI-CN-01</t>
  </si>
  <si>
    <t xml:space="preserve">Concrete</t>
  </si>
  <si>
    <t xml:space="preserve">PCC 1:4:8 in foundation base</t>
  </si>
  <si>
    <t xml:space="preserve">Strip: length x PCC width x thickness; isolated: (L+2p)(B+2p)t</t>
  </si>
  <si>
    <t xml:space="preserve">SUM(strip.len_cl*strip.pcc_w*strip.pcc_t) + SUM(ftg.n*(ftg.L+2p)*(ftg.B+2p)*t)</t>
  </si>
  <si>
    <t xml:space="preserve">FDN_SECTION, FTG_ISO</t>
  </si>
  <si>
    <t xml:space="preserve">Drawing: PCC 1:4:8</t>
  </si>
  <si>
    <t xml:space="preserve">PCC-01</t>
  </si>
  <si>
    <t xml:space="preserve">WI-CN-02</t>
  </si>
  <si>
    <t xml:space="preserve">PCC 1:4:8 floor base (GF, porch)</t>
  </si>
  <si>
    <t xml:space="preserve">Floor area x thickness</t>
  </si>
  <si>
    <t xml:space="preserve">GF.net_floor_area * P_FLOOR_PCC_T</t>
  </si>
  <si>
    <t xml:space="preserve">ROOM (GF), PORCH</t>
  </si>
  <si>
    <t xml:space="preserve">3 in</t>
  </si>
  <si>
    <t xml:space="preserve">GF-PCC-01</t>
  </si>
  <si>
    <t xml:space="preserve">WI-CN-03</t>
  </si>
  <si>
    <t xml:space="preserve">RCC 1:2:4 in isolated footings</t>
  </si>
  <si>
    <t xml:space="preserve">n x L x B x D (+ pedestal)</t>
  </si>
  <si>
    <t xml:space="preserve">SUM(ftg.n*ftg.L*ftg.B*ftg.D)</t>
  </si>
  <si>
    <t xml:space="preserve">Drawing C1 4x4, C2/C3 3x3</t>
  </si>
  <si>
    <t xml:space="preserve">FTG-CONC-01</t>
  </si>
  <si>
    <t xml:space="preserve">WI-CN-04</t>
  </si>
  <si>
    <t xml:space="preserve">RCC in plinth / grade beams</t>
  </si>
  <si>
    <t xml:space="preserve">Length x b x d</t>
  </si>
  <si>
    <t xml:space="preserve">SUM(pb.len*pb.b*pb.d)</t>
  </si>
  <si>
    <t xml:space="preserve">PLINTH_BEAM</t>
  </si>
  <si>
    <t xml:space="preserve">If specified (not in sample)</t>
  </si>
  <si>
    <t xml:space="preserve">WI-CN-05</t>
  </si>
  <si>
    <t xml:space="preserve">RCC in columns</t>
  </si>
  <si>
    <t xml:space="preserve">n x b x d x height (footing top to roof)</t>
  </si>
  <si>
    <t xml:space="preserve">SUM(col.n*col.b*col.d*col.h)</t>
  </si>
  <si>
    <t xml:space="preserve">COL</t>
  </si>
  <si>
    <t xml:space="preserve">C1 9x18, C2/C3 15x15</t>
  </si>
  <si>
    <t xml:space="preserve">COL-CONC-01</t>
  </si>
  <si>
    <t xml:space="preserve">WI-CN-06</t>
  </si>
  <si>
    <t xml:space="preserve">RCC in beams (below slab soffit)</t>
  </si>
  <si>
    <t xml:space="preserve">Length (clear) x b x (D - slab t)</t>
  </si>
  <si>
    <t xml:space="preserve">SUM(beam.len*beam.b*(beam.D-T_SLAB))</t>
  </si>
  <si>
    <t xml:space="preserve">BEAM</t>
  </si>
  <si>
    <t xml:space="preserve">BEAM-CONC-01</t>
  </si>
  <si>
    <t xml:space="preserve">WI-CN-07</t>
  </si>
  <si>
    <t xml:space="preserve">RCC in floor &amp; roof slabs</t>
  </si>
  <si>
    <t xml:space="preserve">Slab area (outer face of bearing walls) - voids (stair, shafts) x thickness; per floor</t>
  </si>
  <si>
    <t xml:space="preserve">SUM(slab.area - slab.voids) * T_SLAB</t>
  </si>
  <si>
    <t xml:space="preserve">SLAB_AREA, SLAB_VOID, T_SLAB</t>
  </si>
  <si>
    <t xml:space="preserve">6 in per elevations</t>
  </si>
  <si>
    <t xml:space="preserve">SLAB-CONC-01</t>
  </si>
  <si>
    <t xml:space="preserve">WI-CN-08</t>
  </si>
  <si>
    <t xml:space="preserve">RCC in staircase (waist, steps, landings)</t>
  </si>
  <si>
    <t xml:space="preserve">Waist: inclined length x width x waist t; steps: 0.5 x R x G x width x n; landings: area x t</t>
  </si>
  <si>
    <t xml:space="preserve">stair.waist + stair.steps + stair.landings</t>
  </si>
  <si>
    <t xml:space="preserve">STAIR-CONC-01</t>
  </si>
  <si>
    <t xml:space="preserve">WI-CN-09</t>
  </si>
  <si>
    <t xml:space="preserve">RCC lintels &amp; seismic bands (lintel/roof/sill)</t>
  </si>
  <si>
    <t xml:space="preserve">Lintel: (opening W + 2 x bearing 9in) x wall t x depth; bands: wall centreline length x t x depth</t>
  </si>
  <si>
    <t xml:space="preserve">SUM(opening.W+2*P_BEARING)*t*d + SUM(wall.len_cl)*t*band_d</t>
  </si>
  <si>
    <t xml:space="preserve">WALL_CL_LEN, OPENINGS, BAND_LEN</t>
  </si>
  <si>
    <t xml:space="preserve">Recommend continuous bands (zone 2B)</t>
  </si>
  <si>
    <t xml:space="preserve">LINTEL-CONC-01</t>
  </si>
  <si>
    <t xml:space="preserve">WI-CN-10</t>
  </si>
  <si>
    <t xml:space="preserve">RCC chajjas, projections, balcony slabs, canopies</t>
  </si>
  <si>
    <t xml:space="preserve">Length x projection x avg thickness</t>
  </si>
  <si>
    <t xml:space="preserve">SUM(proj.len*proj.w*proj.t)</t>
  </si>
  <si>
    <t xml:space="preserve">ELEVATIONS, BALCONY</t>
  </si>
  <si>
    <t xml:space="preserve">WI-CN-11</t>
  </si>
  <si>
    <t xml:space="preserve">RCC in UG water tank / septic tank (base, walls, cover)</t>
  </si>
  <si>
    <t xml:space="preserve">Base + walls (centreline perimeter x t x h) + cover slab - openings</t>
  </si>
  <si>
    <t xml:space="preserve">tank.base + tank.walls + tank.cover</t>
  </si>
  <si>
    <t xml:space="preserve">Drawing: RCC 1:2:4, 6in walls, 4in slab</t>
  </si>
  <si>
    <t xml:space="preserve">WI-CN-12</t>
  </si>
  <si>
    <t xml:space="preserve">DPC 1.5in PCC 1:2:4 with WP admixture, bitumen &amp; polythene</t>
  </si>
  <si>
    <t xml:space="preserve">Length of all walls at plinth x wall thickness (no deduction for door openings unless specified)</t>
  </si>
  <si>
    <t xml:space="preserve">SUM(wall_GF.len_cl * wall.t)</t>
  </si>
  <si>
    <t xml:space="preserve">WALL_CL_LEN (GF)</t>
  </si>
  <si>
    <t xml:space="preserve">Drawing sheet 14/15</t>
  </si>
  <si>
    <t xml:space="preserve">WI-CN-13</t>
  </si>
  <si>
    <t xml:space="preserve">Plinth protection / apron PCC 1:2:4 3in</t>
  </si>
  <si>
    <t xml:space="preserve">External perimeter x apron width</t>
  </si>
  <si>
    <t xml:space="preserve">ext_perimeter * P_APRON_W</t>
  </si>
  <si>
    <t xml:space="preserve">2-3 ft wide</t>
  </si>
  <si>
    <t xml:space="preserve">WI-RF-01</t>
  </si>
  <si>
    <t xml:space="preserve">Reinforcement in footings</t>
  </si>
  <si>
    <t xml:space="preserve">BBS if available; else V_footing x ratio</t>
  </si>
  <si>
    <t xml:space="preserve">BBS or WI-CN-03 * K_ST_FTG</t>
  </si>
  <si>
    <t xml:space="preserve">FTG_ISO / BBS</t>
  </si>
  <si>
    <t xml:space="preserve">FTG-STEEL-01</t>
  </si>
  <si>
    <t xml:space="preserve">WI-RF-02</t>
  </si>
  <si>
    <t xml:space="preserve">Reinforcement in columns</t>
  </si>
  <si>
    <t xml:space="preserve">BBS; else V x ratio (incl. laps, ties)</t>
  </si>
  <si>
    <t xml:space="preserve">BBS or WI-CN-05 * K_ST_COL</t>
  </si>
  <si>
    <t xml:space="preserve">COL / BBS</t>
  </si>
  <si>
    <t xml:space="preserve">COL-STEEL-01</t>
  </si>
  <si>
    <t xml:space="preserve">WI-RF-03</t>
  </si>
  <si>
    <t xml:space="preserve">Reinforcement in beams &amp; plinth beams</t>
  </si>
  <si>
    <t xml:space="preserve">BBS; else V x ratio</t>
  </si>
  <si>
    <t xml:space="preserve">BBS or (WI-CN-06*K_ST_BEAM + WI-CN-04*K_ST_PB)</t>
  </si>
  <si>
    <t xml:space="preserve">BEAM / BBS</t>
  </si>
  <si>
    <t xml:space="preserve">BEAM-STEEL-01</t>
  </si>
  <si>
    <t xml:space="preserve">WI-RF-04</t>
  </si>
  <si>
    <t xml:space="preserve">Reinforcement in slabs</t>
  </si>
  <si>
    <t xml:space="preserve">BBS or WI-CN-07 * K_ST_SLAB</t>
  </si>
  <si>
    <t xml:space="preserve">SLAB / BBS</t>
  </si>
  <si>
    <t xml:space="preserve">SLAB-STEEL-01</t>
  </si>
  <si>
    <t xml:space="preserve">WI-RF-05</t>
  </si>
  <si>
    <t xml:space="preserve">Reinforcement in stairs</t>
  </si>
  <si>
    <t xml:space="preserve">BBS or WI-CN-08 * K_ST_STAIR</t>
  </si>
  <si>
    <t xml:space="preserve">STAIR / BBS</t>
  </si>
  <si>
    <t xml:space="preserve">STAIR-STEEL-01</t>
  </si>
  <si>
    <t xml:space="preserve">WI-RF-06</t>
  </si>
  <si>
    <t xml:space="preserve">Reinforcement in lintels, bands, chajjas</t>
  </si>
  <si>
    <t xml:space="preserve">BBS or (WI-CN-09+WI-CN-10) * K_ST_LINTEL</t>
  </si>
  <si>
    <t xml:space="preserve">LINTEL-STEEL-01</t>
  </si>
  <si>
    <t xml:space="preserve">WI-RF-07</t>
  </si>
  <si>
    <t xml:space="preserve">Reinforcement in tanks (3/8in @ 6-12in c/c both faces)</t>
  </si>
  <si>
    <t xml:space="preserve">BBS from tank detail; else V x ratio</t>
  </si>
  <si>
    <t xml:space="preserve">BBS or WI-CN-11 * K_ST_TANK</t>
  </si>
  <si>
    <t xml:space="preserve">TANK details</t>
  </si>
  <si>
    <t xml:space="preserve">Drawing sheet 16</t>
  </si>
  <si>
    <t xml:space="preserve">Formwork to slabs &amp; beam soffits (steel shuttering, hired)</t>
  </si>
  <si>
    <t xml:space="preserve">Soffit area + beam sides</t>
  </si>
  <si>
    <t xml:space="preserve">SUM(slab.area) + SUM(beam.len*2*(beam.D-T_SLAB))</t>
  </si>
  <si>
    <t xml:space="preserve">Formwork to columns, footings, lintels, stairs, tanks (ply/timber)</t>
  </si>
  <si>
    <t xml:space="preserve">Contact area of concrete surfaces</t>
  </si>
  <si>
    <t xml:space="preserve">SUM(contact areas)</t>
  </si>
  <si>
    <t xml:space="preserve">COL, FTG_ISO, STAIR, TANK, OPENINGS</t>
  </si>
  <si>
    <t xml:space="preserve">WI-MS-01</t>
  </si>
  <si>
    <t xml:space="preserve">Brick masonry in stepped foundations 1:6 (below DPC)</t>
  </si>
  <si>
    <t xml:space="preserve">Sum over steps: centreline length x step width x step height; T-junction correction</t>
  </si>
  <si>
    <t xml:space="preserve">SUM(strip.len_cl * SUM(step.w*step.h))</t>
  </si>
  <si>
    <t xml:space="preserve">FDN_SECTION, FDN_STRIP_LEN</t>
  </si>
  <si>
    <t xml:space="preserve">Drawing sections 1.1-6.6</t>
  </si>
  <si>
    <t xml:space="preserve">FDN-MAS-01</t>
  </si>
  <si>
    <t xml:space="preserve">WI-MS-02</t>
  </si>
  <si>
    <t xml:space="preserve">Brick masonry 9in in superstructure 1:6</t>
  </si>
  <si>
    <t xml:space="preserve">Centreline length x height x 0.75 ft - openings - lintels/bands/columns embedded</t>
  </si>
  <si>
    <t xml:space="preserve">SUM(wall9.len_cl*wall.h*0.75) - SUM(openings in 9in walls)*0.75 - V(lintels,bands,cols)</t>
  </si>
  <si>
    <t xml:space="preserve">WALL_CL_LEN, WALL_H, OPENINGS</t>
  </si>
  <si>
    <t xml:space="preserve">MAS-01</t>
  </si>
  <si>
    <t xml:space="preserve">WI-MS-03</t>
  </si>
  <si>
    <t xml:space="preserve">Brick masonry 4.5in partitions 1:4</t>
  </si>
  <si>
    <t xml:space="preserve">Length x height - openings</t>
  </si>
  <si>
    <t xml:space="preserve">SUM(wall45.len*wall.h) - SUM(openings in 4.5in walls)</t>
  </si>
  <si>
    <t xml:space="preserve">WALL_CL_LEN, OPENINGS</t>
  </si>
  <si>
    <t xml:space="preserve">WI-MS-04</t>
  </si>
  <si>
    <t xml:space="preserve">Parapet walls 9in / 4.5in</t>
  </si>
  <si>
    <t xml:space="preserve">Roof perimeter x parapet height x t</t>
  </si>
  <si>
    <t xml:space="preserve">roof.perimeter * H_PARAPET * t</t>
  </si>
  <si>
    <t xml:space="preserve">ROOF_AREA, H_PARAPET</t>
  </si>
  <si>
    <t xml:space="preserve">Drawing: 2-3 ft</t>
  </si>
  <si>
    <t xml:space="preserve">Brick soling (flat) under GF floors</t>
  </si>
  <si>
    <t xml:space="preserve">Concrete block masonry 8in (alternative)</t>
  </si>
  <si>
    <t xml:space="preserve">SUM(len*h) - openings</t>
  </si>
  <si>
    <t xml:space="preserve">Only if specified</t>
  </si>
  <si>
    <t xml:space="preserve">WI-PL-01</t>
  </si>
  <si>
    <t xml:space="preserve">Plaster</t>
  </si>
  <si>
    <t xml:space="preserve">Internal cement plaster 1/2in (walls)</t>
  </si>
  <si>
    <t xml:space="preserve">Room perimeter x (floor-to-ceiling ht) - openings &gt;5 sft (deduct one face); add jambs/reveals</t>
  </si>
  <si>
    <t xml:space="preserve">SUM(room.perim*room.h) - openings + reveals</t>
  </si>
  <si>
    <t xml:space="preserve">Mix per Recipes (default 1:6)</t>
  </si>
  <si>
    <t xml:space="preserve">PLAS-01</t>
  </si>
  <si>
    <t xml:space="preserve">WI-PL-02</t>
  </si>
  <si>
    <t xml:space="preserve">External cement plaster 3/4in</t>
  </si>
  <si>
    <t xml:space="preserve">Elevation areas (all faces incl. parapets both sides, boundary wall) - openings</t>
  </si>
  <si>
    <t xml:space="preserve">SUM(facade.area) + parapet*2 - openings</t>
  </si>
  <si>
    <t xml:space="preserve">FACADE_AREA, ELEVATIONS</t>
  </si>
  <si>
    <t xml:space="preserve">Mix default 1:4</t>
  </si>
  <si>
    <t xml:space="preserve">PLAS-02</t>
  </si>
  <si>
    <t xml:space="preserve">WI-PL-03</t>
  </si>
  <si>
    <t xml:space="preserve">Ceiling plaster 3/8in</t>
  </si>
  <si>
    <t xml:space="preserve">Ceiling area of each room (incl. beam soffits/sides)</t>
  </si>
  <si>
    <t xml:space="preserve">SUM(room.area) + beam sides</t>
  </si>
  <si>
    <t xml:space="preserve">PLAS-03</t>
  </si>
  <si>
    <t xml:space="preserve">WI-PL-04</t>
  </si>
  <si>
    <t xml:space="preserve">Tank/manhole plaster 1:3 with WP compound</t>
  </si>
  <si>
    <t xml:space="preserve">Internal surfaces of tanks/chambers</t>
  </si>
  <si>
    <t xml:space="preserve">SUM(tank.internal_area)</t>
  </si>
  <si>
    <t xml:space="preserve">Drawing: 1/2in with Puddlo</t>
  </si>
  <si>
    <t xml:space="preserve">Roof treatment: bitumen 2 coats + polythene + earth + mud plaster + brick tiles</t>
  </si>
  <si>
    <t xml:space="preserve">Roof area inside parapets (incl. mumty roof) + upturn 1ft on parapets</t>
  </si>
  <si>
    <t xml:space="preserve">roof.area + roof.perimeter*1</t>
  </si>
  <si>
    <t xml:space="preserve">Traditional PK method</t>
  </si>
  <si>
    <t xml:space="preserve">Roof treatment alternative: EPS/XPS insulation + screed + membrane/tiles</t>
  </si>
  <si>
    <t xml:space="preserve">As WI-WP-01</t>
  </si>
  <si>
    <t xml:space="preserve">roof.area + upturns</t>
  </si>
  <si>
    <t xml:space="preserve">Premium alternative</t>
  </si>
  <si>
    <t xml:space="preserve">Wet-area waterproofing (baths, kitchen, laundry, terraces)</t>
  </si>
  <si>
    <t xml:space="preserve">Floor area + 1ft upturn; shower walls to 6ft</t>
  </si>
  <si>
    <t xml:space="preserve">SUM(wet.area + wet.perim*1) + shower walls</t>
  </si>
  <si>
    <t xml:space="preserve">ROOM (wet), TERRACE_AREA</t>
  </si>
  <si>
    <t xml:space="preserve">Cementitious 2-component</t>
  </si>
  <si>
    <t xml:space="preserve">Slope screed 1:4 (roof, terraces, baths)</t>
  </si>
  <si>
    <t xml:space="preserve">Area</t>
  </si>
  <si>
    <t xml:space="preserve">roof.area + terraces + baths</t>
  </si>
  <si>
    <t xml:space="preserve">ROOF_AREA, ROOM</t>
  </si>
  <si>
    <t xml:space="preserve">avg 2in</t>
  </si>
  <si>
    <t xml:space="preserve">Flooring</t>
  </si>
  <si>
    <t xml:space="preserve">Porcelain floor tiles on mortar bed (rooms, lounges)</t>
  </si>
  <si>
    <t xml:space="preserve">Room net floor area (inside plaster) + door thresholds</t>
  </si>
  <si>
    <t xml:space="preserve">SUM(room.area where finish=porcelain)</t>
  </si>
  <si>
    <t xml:space="preserve">ROOM, Room_Defaults</t>
  </si>
  <si>
    <t xml:space="preserve">24x24 in</t>
  </si>
  <si>
    <t xml:space="preserve">Ceramic anti-skid floor tiles (baths, kitchen, laundry)</t>
  </si>
  <si>
    <t xml:space="preserve">Room net area</t>
  </si>
  <si>
    <t xml:space="preserve">SUM(room.area where wet)</t>
  </si>
  <si>
    <t xml:space="preserve">12x12 / 16x16</t>
  </si>
  <si>
    <t xml:space="preserve">Wall tiles (bath full height, kitchen backsplash)</t>
  </si>
  <si>
    <t xml:space="preserve">Perimeter x tile height - openings</t>
  </si>
  <si>
    <t xml:space="preserve">SUM(room.perim*tile_h) - openings</t>
  </si>
  <si>
    <t xml:space="preserve">8-9 ft in baths</t>
  </si>
  <si>
    <t xml:space="preserve">Marble flooring (stairs landings, lobby, optional rooms)</t>
  </si>
  <si>
    <t xml:space="preserve">SUM(area where finish=marble)</t>
  </si>
  <si>
    <t xml:space="preserve">3/4 in local marble</t>
  </si>
  <si>
    <t xml:space="preserve">Skirting 4in</t>
  </si>
  <si>
    <t xml:space="preserve">Room perimeter - door widths</t>
  </si>
  <si>
    <t xml:space="preserve">SUM(room.perim) - SUM(door.W)</t>
  </si>
  <si>
    <t xml:space="preserve">Stair treads &amp; risers marble</t>
  </si>
  <si>
    <t xml:space="preserve">n_steps x stair width</t>
  </si>
  <si>
    <t xml:space="preserve">stair.n_steps * stair.width</t>
  </si>
  <si>
    <t xml:space="preserve">Outdoor pavers / tiles (porch, driveway, terraces)</t>
  </si>
  <si>
    <t xml:space="preserve">porch.area + terraces + driveway</t>
  </si>
  <si>
    <t xml:space="preserve">PORCH, TERRACE_AREA, PAVING_AREA</t>
  </si>
  <si>
    <t xml:space="preserve">60/80mm pavers</t>
  </si>
  <si>
    <t xml:space="preserve">Window sills &amp; door thresholds (marble)</t>
  </si>
  <si>
    <t xml:space="preserve">Sum of window widths + door widths</t>
  </si>
  <si>
    <t xml:space="preserve">SUM(win.W) + SUM(door.W)</t>
  </si>
  <si>
    <t xml:space="preserve">Doors</t>
  </si>
  <si>
    <t xml:space="preserve">Door frames (chogath) solid wood</t>
  </si>
  <si>
    <t xml:space="preserve">Per door: 2 x height + width (3-sided)</t>
  </si>
  <si>
    <t xml:space="preserve">SUM(door.n*(2*door.H+door.W))</t>
  </si>
  <si>
    <t xml:space="preserve">Drawing sheet 20: 5in/10in</t>
  </si>
  <si>
    <t xml:space="preserve">Door shutters</t>
  </si>
  <si>
    <t xml:space="preserve">Leaf W x H per door</t>
  </si>
  <si>
    <t xml:space="preserve">SUM(door.n*door.W*door.H)</t>
  </si>
  <si>
    <t xml:space="preserve">Door hardware sets</t>
  </si>
  <si>
    <t xml:space="preserve">1 set per leaf</t>
  </si>
  <si>
    <t xml:space="preserve">SUM(door.n*door.leaves)</t>
  </si>
  <si>
    <t xml:space="preserve">Aluminium/uPVC windows with glazing</t>
  </si>
  <si>
    <t xml:space="preserve">Opening W x H per window</t>
  </si>
  <si>
    <t xml:space="preserve">SUM(win.n*win.W*win.H)</t>
  </si>
  <si>
    <t xml:space="preserve">Drawing gives sill+height only</t>
  </si>
  <si>
    <t xml:space="preserve">Metalwork</t>
  </si>
  <si>
    <t xml:space="preserve">Window area where grills specified</t>
  </si>
  <si>
    <t xml:space="preserve">SUM(win.area where grill)</t>
  </si>
  <si>
    <t xml:space="preserve">Stair &amp; balcony railings</t>
  </si>
  <si>
    <t xml:space="preserve">Stair flight inclined length + landing edges; balcony/terrace edge length</t>
  </si>
  <si>
    <t xml:space="preserve">stair.rail_len + balcony.edge_len</t>
  </si>
  <si>
    <t xml:space="preserve">Main gate MS</t>
  </si>
  <si>
    <t xml:space="preserve">Gate W x H</t>
  </si>
  <si>
    <t xml:space="preserve">gate.W*gate.H</t>
  </si>
  <si>
    <t xml:space="preserve">Ceiling</t>
  </si>
  <si>
    <t xml:space="preserve">Gypsum board false ceiling (bulkhead/partial)</t>
  </si>
  <si>
    <t xml:space="preserve">Room area x false-ceiling fraction</t>
  </si>
  <si>
    <t xml:space="preserve">SUM(room.area*room.fc_pct)</t>
  </si>
  <si>
    <t xml:space="preserve">Paint</t>
  </si>
  <si>
    <t xml:space="preserve">Interior walls: putty 2 coats + primer + emulsion 2 coats</t>
  </si>
  <si>
    <t xml:space="preserve">Plastered internal wall area (= WI-PL-01) - tiled area</t>
  </si>
  <si>
    <t xml:space="preserve">WI-PL-01 - WI-FL-03</t>
  </si>
  <si>
    <t xml:space="preserve">Ceilings: putty + primer + emulsion</t>
  </si>
  <si>
    <t xml:space="preserve">Rule: ceiling plaster area</t>
  </si>
  <si>
    <t xml:space="preserve">Exterior: primer + weather coat 2 coats</t>
  </si>
  <si>
    <t xml:space="preserve">Rule: external plaster area - cladding</t>
  </si>
  <si>
    <t xml:space="preserve">WI-PL-02 - cladding</t>
  </si>
  <si>
    <t xml:space="preserve">Enamel on MS works (grills, gate, railings)</t>
  </si>
  <si>
    <t xml:space="preserve">Both faces of grill/gate area</t>
  </si>
  <si>
    <t xml:space="preserve">2*(WI-DW-05+WI-DW-07) + railings*2</t>
  </si>
  <si>
    <t xml:space="preserve">Wood polish/lacquer on doors &amp; frames</t>
  </si>
  <si>
    <t xml:space="preserve">2 faces of shutters + frame surfaces</t>
  </si>
  <si>
    <t xml:space="preserve">2*WI-DW-02 + WI-DW-01*(K_CHOG_W+2*K_CHOG_T)/12</t>
  </si>
  <si>
    <t xml:space="preserve">WI-EL-01</t>
  </si>
  <si>
    <t xml:space="preserve">Wiring</t>
  </si>
  <si>
    <t xml:space="preserve">Light point (incl. switch, box, 3/29 wire, conduit)</t>
  </si>
  <si>
    <t xml:space="preserve">Count light symbols (all types) per floor</t>
  </si>
  <si>
    <t xml:space="preserve">COUNT(symbol in [light,downlight,tube,wall light,chandelier,step,mirror])</t>
  </si>
  <si>
    <t xml:space="preserve">EL_POINTS</t>
  </si>
  <si>
    <t xml:space="preserve">Fan point (incl. regulator)</t>
  </si>
  <si>
    <t xml:space="preserve">Count ceiling fan symbols</t>
  </si>
  <si>
    <t xml:space="preserve">COUNT(symbol=ceiling_fan)</t>
  </si>
  <si>
    <t xml:space="preserve">13A socket point (7/29)</t>
  </si>
  <si>
    <t xml:space="preserve">Count 2x13A switched sockets, fridge sockets</t>
  </si>
  <si>
    <t xml:space="preserve">COUNT(symbol in [socket_13A,fridge])</t>
  </si>
  <si>
    <t xml:space="preserve">15A power / geyser / cooker point</t>
  </si>
  <si>
    <t xml:space="preserve">Count 15A, water heater, cooker symbols</t>
  </si>
  <si>
    <t xml:space="preserve">COUNT(symbol in [socket_15A,water_heater,cooker])</t>
  </si>
  <si>
    <t xml:space="preserve">AC point (7/36, 1in conduit, isolator)</t>
  </si>
  <si>
    <t xml:space="preserve">Count split unit / AC switch symbols</t>
  </si>
  <si>
    <t xml:space="preserve">COUNT(symbol in [split_ac,ac_switch])</t>
  </si>
  <si>
    <t xml:space="preserve">Low-voltage points (TV, data, intercom, CCTV)</t>
  </si>
  <si>
    <t xml:space="preserve">Count symbols</t>
  </si>
  <si>
    <t xml:space="preserve">COUNT(symbol in [tv,data,intercom,cctv])</t>
  </si>
  <si>
    <t xml:space="preserve">Distribution</t>
  </si>
  <si>
    <t xml:space="preserve">Sub-main feeders (main DB to floor DBs), 7/44</t>
  </si>
  <si>
    <t xml:space="preserve">Vertical rise + horizontal route</t>
  </si>
  <si>
    <t xml:space="preserve">SUM(floor_db.route_len)</t>
  </si>
  <si>
    <t xml:space="preserve">EL_DB_DIST, H_FLOOR</t>
  </si>
  <si>
    <t xml:space="preserve">Distribution boards with MCBs/RCCB</t>
  </si>
  <si>
    <t xml:space="preserve">1 main + 1 per floor (+ UPS/solar DB)</t>
  </si>
  <si>
    <t xml:space="preserve">N_FLOORS + 1</t>
  </si>
  <si>
    <t xml:space="preserve">N_FLOORS</t>
  </si>
  <si>
    <t xml:space="preserve">Earthing pit complete (drawing detail)</t>
  </si>
  <si>
    <t xml:space="preserve">Min 1 per DB system; 2 recommended</t>
  </si>
  <si>
    <t xml:space="preserve">P_EARTH_PITS</t>
  </si>
  <si>
    <t xml:space="preserve">EL detail sheet 29-30</t>
  </si>
  <si>
    <t xml:space="preserve">Copper spike / GI pipe 10ft</t>
  </si>
  <si>
    <t xml:space="preserve">WI-EL-10</t>
  </si>
  <si>
    <t xml:space="preserve">Fixtures</t>
  </si>
  <si>
    <t xml:space="preserve">Light fixtures &amp; fans supply</t>
  </si>
  <si>
    <t xml:space="preserve">Rule: counts from WI-EL-01/02 by fixture type</t>
  </si>
  <si>
    <t xml:space="preserve">by symbol</t>
  </si>
  <si>
    <t xml:space="preserve">AC</t>
  </si>
  <si>
    <t xml:space="preserve">Split AC pre-piping (copper, insulation, drain, cable)</t>
  </si>
  <si>
    <t xml:space="preserve">1 per AC point</t>
  </si>
  <si>
    <t xml:space="preserve">COUNT(split_ac)</t>
  </si>
  <si>
    <t xml:space="preserve">AC_UNITS</t>
  </si>
  <si>
    <t xml:space="preserve">Exhaust fan installation</t>
  </si>
  <si>
    <t xml:space="preserve">1 per bath/kitchen/laundry (symbol count)</t>
  </si>
  <si>
    <t xml:space="preserve">COUNT(exhaust_fan)</t>
  </si>
  <si>
    <t xml:space="preserve">EXH_FANS</t>
  </si>
  <si>
    <t xml:space="preserve">Sanitary</t>
  </si>
  <si>
    <t xml:space="preserve">WC complete (concealed cistern, wall-hung)</t>
  </si>
  <si>
    <t xml:space="preserve">Count WC symbols</t>
  </si>
  <si>
    <t xml:space="preserve">COUNT(wc)</t>
  </si>
  <si>
    <t xml:space="preserve">Drawing: concealed WC</t>
  </si>
  <si>
    <t xml:space="preserve">Wash basin/vanity complete</t>
  </si>
  <si>
    <t xml:space="preserve">Count</t>
  </si>
  <si>
    <t xml:space="preserve">Shower complete (concealed mixer)</t>
  </si>
  <si>
    <t xml:space="preserve">Health faucet (Muslim shower)</t>
  </si>
  <si>
    <t xml:space="preserve">1 per WC</t>
  </si>
  <si>
    <t xml:space="preserve">Drainage</t>
  </si>
  <si>
    <t xml:space="preserve">Floor trap with waste line</t>
  </si>
  <si>
    <t xml:space="preserve">Count F.T symbols</t>
  </si>
  <si>
    <t xml:space="preserve">COUNT(FT)</t>
  </si>
  <si>
    <t xml:space="preserve">PB_FT</t>
  </si>
  <si>
    <t xml:space="preserve">Drawing: F.T</t>
  </si>
  <si>
    <t xml:space="preserve">Water supply</t>
  </si>
  <si>
    <t xml:space="preserve">Bathroom group risers, vents, fittings (per bathroom)</t>
  </si>
  <si>
    <t xml:space="preserve">1 per bathroom</t>
  </si>
  <si>
    <t xml:space="preserve">COUNT(bathroom)</t>
  </si>
  <si>
    <t xml:space="preserve">Kitchen sink point complete</t>
  </si>
  <si>
    <t xml:space="preserve">COUNT(kitchen_sink)</t>
  </si>
  <si>
    <t xml:space="preserve">Washing machine point</t>
  </si>
  <si>
    <t xml:space="preserve">Count (laundry)</t>
  </si>
  <si>
    <t xml:space="preserve">COUNT(wm)</t>
  </si>
  <si>
    <t xml:space="preserve">ROOM (laundry)</t>
  </si>
  <si>
    <t xml:space="preserve">Rainwater pipes 3-4in</t>
  </si>
  <si>
    <t xml:space="preserve">n_RWP x (building height + 2ft)</t>
  </si>
  <si>
    <t xml:space="preserve">RWP_COUNT*(H_total+2)</t>
  </si>
  <si>
    <t xml:space="preserve">RWP_COUNT</t>
  </si>
  <si>
    <t xml:space="preserve">Drawing: 3in/4in RWP</t>
  </si>
  <si>
    <t xml:space="preserve">Roof outlet khura with grating</t>
  </si>
  <si>
    <t xml:space="preserve">1 per RWP</t>
  </si>
  <si>
    <t xml:space="preserve">Drawing: khura 2x2 ft</t>
  </si>
  <si>
    <t xml:space="preserve">External sewer line with sand bedding</t>
  </si>
  <si>
    <t xml:space="preserve">Measured along route from GT/MH to street</t>
  </si>
  <si>
    <t xml:space="preserve">SUM(sewer.len)</t>
  </si>
  <si>
    <t xml:space="preserve">SEWER_EXT_LEN</t>
  </si>
  <si>
    <t xml:space="preserve">RCC/uPVC 6in</t>
  </si>
  <si>
    <t xml:space="preserve">Manhole up to 3ft depth complete</t>
  </si>
  <si>
    <t xml:space="preserve">Count M.H symbols</t>
  </si>
  <si>
    <t xml:space="preserve">PB_MH</t>
  </si>
  <si>
    <t xml:space="preserve">Drawing sheet 24</t>
  </si>
  <si>
    <t xml:space="preserve">Gully trap complete</t>
  </si>
  <si>
    <t xml:space="preserve">Count G.T symbols</t>
  </si>
  <si>
    <t xml:space="preserve">COUNT(GT)</t>
  </si>
  <si>
    <t xml:space="preserve">PB_GT</t>
  </si>
  <si>
    <t xml:space="preserve">WI-PB-14</t>
  </si>
  <si>
    <t xml:space="preserve">Pumps, OH tank, main supply, valves (system)</t>
  </si>
  <si>
    <t xml:space="preserve">1 per house</t>
  </si>
  <si>
    <t xml:space="preserve">TANK_OH, PB legend</t>
  </si>
  <si>
    <t xml:space="preserve">600 gal FG tank per drawing</t>
  </si>
  <si>
    <t xml:space="preserve">Gas point (GI pipe, valve, fittings)</t>
  </si>
  <si>
    <t xml:space="preserve">Count gas points (cooker + heaters + geyser)</t>
  </si>
  <si>
    <t xml:space="preserve">COUNT(gas_point)</t>
  </si>
  <si>
    <t xml:space="preserve">GAS_POINTS</t>
  </si>
  <si>
    <t xml:space="preserve">Drawing: 3/4in GI</t>
  </si>
  <si>
    <t xml:space="preserve">Base cabinets</t>
  </si>
  <si>
    <t xml:space="preserve">Counter run length</t>
  </si>
  <si>
    <t xml:space="preserve">SUM(kitchen.counter_len)</t>
  </si>
  <si>
    <t xml:space="preserve">Wall cabinets</t>
  </si>
  <si>
    <t xml:space="preserve">Wall cabinet run</t>
  </si>
  <si>
    <t xml:space="preserve">SUM(kitchen.wallcab_len)</t>
  </si>
  <si>
    <t xml:space="preserve">Countertop</t>
  </si>
  <si>
    <t xml:space="preserve">Counter run</t>
  </si>
  <si>
    <t xml:space="preserve">Joinery</t>
  </si>
  <si>
    <t xml:space="preserve">Built-in wardrobes</t>
  </si>
  <si>
    <t xml:space="preserve">Face area = length x height</t>
  </si>
  <si>
    <t xml:space="preserve">SUM(wardrobe.L*wardrobe.H)</t>
  </si>
  <si>
    <t xml:space="preserve">Drawing: 3 wardrobes FF</t>
  </si>
  <si>
    <t xml:space="preserve">WI-EX-01</t>
  </si>
  <si>
    <t xml:space="preserve">Boundary wall (9in, pillars) incl. foundation</t>
  </si>
  <si>
    <t xml:space="preserve">Length of un-shared boundary</t>
  </si>
  <si>
    <t xml:space="preserve">SUM(boundary.len)</t>
  </si>
  <si>
    <t xml:space="preserve">BOUNDARY_LEN</t>
  </si>
  <si>
    <t xml:space="preserve">Rainwater harvesting recharge well complete</t>
  </si>
  <si>
    <t xml:space="preserve">Min 1 per plot (CDA 2026)</t>
  </si>
  <si>
    <t xml:space="preserve">RWH</t>
  </si>
  <si>
    <t xml:space="preserve">Mandatory in ICT</t>
  </si>
  <si>
    <t xml:space="preserve">Work Item</t>
  </si>
  <si>
    <t xml:space="preserve">Material</t>
  </si>
  <si>
    <t xml:space="preserve">Driver Coeff_ID</t>
  </si>
  <si>
    <t xml:space="preserve">Mix_Ref</t>
  </si>
  <si>
    <t xml:space="preserve">Mix_Component</t>
  </si>
  <si>
    <t xml:space="preserve">Coefficient (material per unit of WI)</t>
  </si>
  <si>
    <t xml:space="preserve">Coeff Unit</t>
  </si>
  <si>
    <t xml:space="preserve">Basis</t>
  </si>
  <si>
    <t xml:space="preserve">Material Unit</t>
  </si>
  <si>
    <t xml:space="preserve">K_ONE</t>
  </si>
  <si>
    <t xml:space="preserve">gal/gal</t>
  </si>
  <si>
    <t xml:space="preserve">Qty computed in work item</t>
  </si>
  <si>
    <t xml:space="preserve">K_FILL_COMPACT</t>
  </si>
  <si>
    <t xml:space="preserve">cft/cft</t>
  </si>
  <si>
    <t xml:space="preserve">Loose imported earth per compacted cft</t>
  </si>
  <si>
    <t xml:space="preserve">K_SAND_COMPACT</t>
  </si>
  <si>
    <t xml:space="preserve">K_AT_L_SFT</t>
  </si>
  <si>
    <t xml:space="preserve">L/sft</t>
  </si>
  <si>
    <t xml:space="preserve">Per label</t>
  </si>
  <si>
    <t xml:space="preserve">K_RF_POLY</t>
  </si>
  <si>
    <t xml:space="preserve">sft/sft</t>
  </si>
  <si>
    <t xml:space="preserve">incl. overlap</t>
  </si>
  <si>
    <t xml:space="preserve">MX_PCC148</t>
  </si>
  <si>
    <t xml:space="preserve">cement</t>
  </si>
  <si>
    <t xml:space="preserve">bag/cft</t>
  </si>
  <si>
    <t xml:space="preserve">sand</t>
  </si>
  <si>
    <t xml:space="preserve">agg</t>
  </si>
  <si>
    <t xml:space="preserve">MX_RCC124</t>
  </si>
  <si>
    <t xml:space="preserve">K_COVERBLK_CFT</t>
  </si>
  <si>
    <t xml:space="preserve">Nos/cft</t>
  </si>
  <si>
    <t xml:space="preserve">Allowance</t>
  </si>
  <si>
    <t xml:space="preserve">K_TANK_WPADMIX</t>
  </si>
  <si>
    <t xml:space="preserve">kg/cft</t>
  </si>
  <si>
    <t xml:space="preserve">Integral WP</t>
  </si>
  <si>
    <t xml:space="preserve">K_DPC_WET</t>
  </si>
  <si>
    <t xml:space="preserve">MX_DPC124</t>
  </si>
  <si>
    <t xml:space="preserve">bag/sft</t>
  </si>
  <si>
    <t xml:space="preserve">cft/sft</t>
  </si>
  <si>
    <t xml:space="preserve">K_DPC_BIT</t>
  </si>
  <si>
    <t xml:space="preserve">kg/sft</t>
  </si>
  <si>
    <t xml:space="preserve">2 coats</t>
  </si>
  <si>
    <t xml:space="preserve">K_DPC_POLY</t>
  </si>
  <si>
    <t xml:space="preserve">double layer</t>
  </si>
  <si>
    <t xml:space="preserve">K_DPC_WPADMIX</t>
  </si>
  <si>
    <t xml:space="preserve">K_APRON_WET</t>
  </si>
  <si>
    <t xml:space="preserve">K_SPL_FTG_3</t>
  </si>
  <si>
    <t xml:space="preserve">kg/kg</t>
  </si>
  <si>
    <t xml:space="preserve">Bar-diameter split (replace with BBS)</t>
  </si>
  <si>
    <t xml:space="preserve">K_SPL_FTG_4</t>
  </si>
  <si>
    <t xml:space="preserve">K_BIND_PER_KG</t>
  </si>
  <si>
    <t xml:space="preserve">K_SPL_COL_3</t>
  </si>
  <si>
    <t xml:space="preserve">K_SPL_COL_4</t>
  </si>
  <si>
    <t xml:space="preserve">K_SPL_COL_5</t>
  </si>
  <si>
    <t xml:space="preserve">K_SPL_BEAM_3</t>
  </si>
  <si>
    <t xml:space="preserve">K_SPL_BEAM_4</t>
  </si>
  <si>
    <t xml:space="preserve">K_SPL_BEAM_5</t>
  </si>
  <si>
    <t xml:space="preserve">K_SPL_SLAB_3</t>
  </si>
  <si>
    <t xml:space="preserve">K_SPL_SLAB_4</t>
  </si>
  <si>
    <t xml:space="preserve">K_SPL_LIN_3</t>
  </si>
  <si>
    <t xml:space="preserve">K_SPL_LIN_4</t>
  </si>
  <si>
    <t xml:space="preserve">Hire</t>
  </si>
  <si>
    <t xml:space="preserve">K_PROP_SFT</t>
  </si>
  <si>
    <t xml:space="preserve">Nos/sft</t>
  </si>
  <si>
    <t xml:space="preserve">K_OIL_L_SFT</t>
  </si>
  <si>
    <t xml:space="preserve">Optional sheet over shuttering</t>
  </si>
  <si>
    <t xml:space="preserve">K_PLY_SFT</t>
  </si>
  <si>
    <t xml:space="preserve">after reuse</t>
  </si>
  <si>
    <t xml:space="preserve">K_BATTEN_CFT_SFT</t>
  </si>
  <si>
    <t xml:space="preserve">K_NAIL_KG_SFT</t>
  </si>
  <si>
    <t xml:space="preserve">K_BRK_PER_CFT</t>
  </si>
  <si>
    <t xml:space="preserve">K_MORT_WET_PER_CFT</t>
  </si>
  <si>
    <t xml:space="preserve">MX_MOR16</t>
  </si>
  <si>
    <t xml:space="preserve">K_BRK_PER_SFT_45</t>
  </si>
  <si>
    <t xml:space="preserve">K_MORT_WET_PER_SFT_45</t>
  </si>
  <si>
    <t xml:space="preserve">MX_MOR14</t>
  </si>
  <si>
    <t xml:space="preserve">K_MESH_RFT_PER_SFT</t>
  </si>
  <si>
    <t xml:space="preserve">rft/cft</t>
  </si>
  <si>
    <t xml:space="preserve">Allowance; better measured from junction length</t>
  </si>
  <si>
    <t xml:space="preserve">K_SOL_FLAT_PER_SFT</t>
  </si>
  <si>
    <t xml:space="preserve">Class-B bricks acceptable</t>
  </si>
  <si>
    <t xml:space="preserve">K_SOL_SAND</t>
  </si>
  <si>
    <t xml:space="preserve">K_BLK_PER_SFT</t>
  </si>
  <si>
    <t xml:space="preserve">K_BLK_MORT_WET_SFT</t>
  </si>
  <si>
    <t xml:space="preserve">K_PL_INT_WET</t>
  </si>
  <si>
    <t xml:space="preserve">K_CBEAD_RFT_SFT</t>
  </si>
  <si>
    <t xml:space="preserve">rft/sft</t>
  </si>
  <si>
    <t xml:space="preserve">K_PL_EXT_WET</t>
  </si>
  <si>
    <t xml:space="preserve">K_PL_CEIL_WET</t>
  </si>
  <si>
    <t xml:space="preserve">MX_MOR13</t>
  </si>
  <si>
    <t xml:space="preserve">K_PL4_WPADMIX</t>
  </si>
  <si>
    <t xml:space="preserve">Puddlo-type per drawing</t>
  </si>
  <si>
    <t xml:space="preserve">K_RF_BIT</t>
  </si>
  <si>
    <t xml:space="preserve">K_PRIMER_GAL</t>
  </si>
  <si>
    <t xml:space="preserve">gal/sft</t>
  </si>
  <si>
    <t xml:space="preserve">Bitumen primer 1 coat</t>
  </si>
  <si>
    <t xml:space="preserve">K_RF_EARTH</t>
  </si>
  <si>
    <t xml:space="preserve">K_RF_MUD</t>
  </si>
  <si>
    <t xml:space="preserve">mud plaster (same earth line)</t>
  </si>
  <si>
    <t xml:space="preserve">K_RF_STRAW</t>
  </si>
  <si>
    <t xml:space="preserve">K_RTILE_PER_SFT</t>
  </si>
  <si>
    <t xml:space="preserve">K_RF_BED_WET</t>
  </si>
  <si>
    <t xml:space="preserve">tile bedding</t>
  </si>
  <si>
    <t xml:space="preserve">membrane incl. laps</t>
  </si>
  <si>
    <t xml:space="preserve">K_SCREED_WET</t>
  </si>
  <si>
    <t xml:space="preserve">protection screed</t>
  </si>
  <si>
    <t xml:space="preserve">K_CEMWP_KG_SFT</t>
  </si>
  <si>
    <t xml:space="preserve">K_FIBRE_KG_SFT</t>
  </si>
  <si>
    <t xml:space="preserve">K_BED_WET</t>
  </si>
  <si>
    <t xml:space="preserve">mortar bed</t>
  </si>
  <si>
    <t xml:space="preserve">K_GROUT_KG_SFT</t>
  </si>
  <si>
    <t xml:space="preserve">K_SPACER_SFT</t>
  </si>
  <si>
    <t xml:space="preserve">K_ADH_KG_SFT</t>
  </si>
  <si>
    <t xml:space="preserve">thin-bed</t>
  </si>
  <si>
    <t xml:space="preserve">K_WCEM_MARBLE</t>
  </si>
  <si>
    <t xml:space="preserve">grinding &amp; polish</t>
  </si>
  <si>
    <t xml:space="preserve">K_SKIRT_SFT_RFT</t>
  </si>
  <si>
    <t xml:space="preserve">sft/rft</t>
  </si>
  <si>
    <t xml:space="preserve">K_SKIRT_ADH</t>
  </si>
  <si>
    <t xml:space="preserve">kg/rft</t>
  </si>
  <si>
    <t xml:space="preserve">K_STEP_SFT_RFT</t>
  </si>
  <si>
    <t xml:space="preserve">rft/rft</t>
  </si>
  <si>
    <t xml:space="preserve">K_PAVER_SAND</t>
  </si>
  <si>
    <t xml:space="preserve">K_SILL_SFT_RFT</t>
  </si>
  <si>
    <t xml:space="preserve">K_CHOG_CFT_RFT</t>
  </si>
  <si>
    <t xml:space="preserve">cft/rft</t>
  </si>
  <si>
    <t xml:space="preserve">K_HOLDFAST_RFT</t>
  </si>
  <si>
    <t xml:space="preserve">Nos/rft</t>
  </si>
  <si>
    <t xml:space="preserve">or DWG-003/004 per door type</t>
  </si>
  <si>
    <t xml:space="preserve">set/leaf</t>
  </si>
  <si>
    <t xml:space="preserve">K_GLASS_RATIO</t>
  </si>
  <si>
    <t xml:space="preserve">K_NET_RATIO</t>
  </si>
  <si>
    <t xml:space="preserve">K_SIL_TUBE_SFT</t>
  </si>
  <si>
    <t xml:space="preserve">tube/sft</t>
  </si>
  <si>
    <t xml:space="preserve">K_GRILL_KG_SFT</t>
  </si>
  <si>
    <t xml:space="preserve">K_GATE_KG_SFT</t>
  </si>
  <si>
    <t xml:space="preserve">K_GI_RFT_SFT</t>
  </si>
  <si>
    <t xml:space="preserve">K_JC_KG_SFT</t>
  </si>
  <si>
    <t xml:space="preserve">K_PUTTY_KG_SFT</t>
  </si>
  <si>
    <t xml:space="preserve">K_EMUL_GAL</t>
  </si>
  <si>
    <t xml:space="preserve">exterior sealer</t>
  </si>
  <si>
    <t xml:space="preserve">K_EXT_GAL</t>
  </si>
  <si>
    <t xml:space="preserve">K_MPRIM_GAL</t>
  </si>
  <si>
    <t xml:space="preserve">K_ENAM_GAL</t>
  </si>
  <si>
    <t xml:space="preserve">K_THIN_L_SFT</t>
  </si>
  <si>
    <t xml:space="preserve">K_WOODFIN_L_SFT</t>
  </si>
  <si>
    <t xml:space="preserve">K_EL_LT_COND</t>
  </si>
  <si>
    <t xml:space="preserve">rft/pt</t>
  </si>
  <si>
    <t xml:space="preserve">K_EL_LT_WIRE</t>
  </si>
  <si>
    <t xml:space="preserve">m/pt</t>
  </si>
  <si>
    <t xml:space="preserve">K_EL_LT_EARTH</t>
  </si>
  <si>
    <t xml:space="preserve">Nos/pt</t>
  </si>
  <si>
    <t xml:space="preserve">K_EL_FIT</t>
  </si>
  <si>
    <t xml:space="preserve">K_EL_SK_COND</t>
  </si>
  <si>
    <t xml:space="preserve">K_EL_SK_WIRE</t>
  </si>
  <si>
    <t xml:space="preserve">K_EL_SK_EARTH</t>
  </si>
  <si>
    <t xml:space="preserve">K_EL_PW_WIRE</t>
  </si>
  <si>
    <t xml:space="preserve">or ELE-024/025 per symbol</t>
  </si>
  <si>
    <t xml:space="preserve">K_EL_AC_COND</t>
  </si>
  <si>
    <t xml:space="preserve">K_EL_AC_WIRE</t>
  </si>
  <si>
    <t xml:space="preserve">K_EL_AC_EARTH</t>
  </si>
  <si>
    <t xml:space="preserve">K_EL_LV_COND</t>
  </si>
  <si>
    <t xml:space="preserve">K_EL_LV_CABLE</t>
  </si>
  <si>
    <t xml:space="preserve">RG6 or CAT6 per type</t>
  </si>
  <si>
    <t xml:space="preserve">K_EL_SM_WIRE</t>
  </si>
  <si>
    <t xml:space="preserve">m/rft</t>
  </si>
  <si>
    <t xml:space="preserve">K_EL_SM_EARTH</t>
  </si>
  <si>
    <t xml:space="preserve">Nos/Nos</t>
  </si>
  <si>
    <t xml:space="preserve">main/sub DB</t>
  </si>
  <si>
    <t xml:space="preserve">Nos/DB</t>
  </si>
  <si>
    <t xml:space="preserve">30mA RCCB</t>
  </si>
  <si>
    <t xml:space="preserve">set/pit</t>
  </si>
  <si>
    <t xml:space="preserve">K_EARTH_COND_M</t>
  </si>
  <si>
    <t xml:space="preserve">m/pit</t>
  </si>
  <si>
    <t xml:space="preserve">K_AC_CU_RFT</t>
  </si>
  <si>
    <t xml:space="preserve">rft/AC</t>
  </si>
  <si>
    <t xml:space="preserve">K_AC_INSUL_RFT</t>
  </si>
  <si>
    <t xml:space="preserve">K_AC_IC_M</t>
  </si>
  <si>
    <t xml:space="preserve">m/AC</t>
  </si>
  <si>
    <t xml:space="preserve">K_AC_DRAIN</t>
  </si>
  <si>
    <t xml:space="preserve">Nos/AC</t>
  </si>
  <si>
    <t xml:space="preserve">K_PB_WC_CW</t>
  </si>
  <si>
    <t xml:space="preserve">K_PB_WC_SP</t>
  </si>
  <si>
    <t xml:space="preserve">K_PB_WC_FIT</t>
  </si>
  <si>
    <t xml:space="preserve">K_PB_BS_CW</t>
  </si>
  <si>
    <t xml:space="preserve">K_PB_BS_HW</t>
  </si>
  <si>
    <t xml:space="preserve">K_PB_BS_WP</t>
  </si>
  <si>
    <t xml:space="preserve">K_PB_BS_FIT</t>
  </si>
  <si>
    <t xml:space="preserve">K_PB_SH_CW</t>
  </si>
  <si>
    <t xml:space="preserve">K_PB_SH_HW</t>
  </si>
  <si>
    <t xml:space="preserve">K_PB_SH_FIT</t>
  </si>
  <si>
    <t xml:space="preserve">K_PB_HF_CW</t>
  </si>
  <si>
    <t xml:space="preserve">K_PB_FT_WP</t>
  </si>
  <si>
    <t xml:space="preserve">K_PB_RISER25</t>
  </si>
  <si>
    <t xml:space="preserve">K_PB_VENT</t>
  </si>
  <si>
    <t xml:space="preserve">K_PB_UPVC_FIT</t>
  </si>
  <si>
    <t xml:space="preserve">K_PB_SOLV</t>
  </si>
  <si>
    <t xml:space="preserve">K_PB_VALVES</t>
  </si>
  <si>
    <t xml:space="preserve">K_PB_CLAMPS</t>
  </si>
  <si>
    <t xml:space="preserve">K_PB_KS_CW</t>
  </si>
  <si>
    <t xml:space="preserve">K_PB_KS_HW</t>
  </si>
  <si>
    <t xml:space="preserve">K_PB_KS_WP</t>
  </si>
  <si>
    <t xml:space="preserve">K_PB_WM_CW</t>
  </si>
  <si>
    <t xml:space="preserve">K_RWP_CLAMP</t>
  </si>
  <si>
    <t xml:space="preserve">K_TRENCH_SAND</t>
  </si>
  <si>
    <t xml:space="preserve">K_MH_BRICKS</t>
  </si>
  <si>
    <t xml:space="preserve">Nos/MH</t>
  </si>
  <si>
    <t xml:space="preserve">K_MH_CEM</t>
  </si>
  <si>
    <t xml:space="preserve">bag/MH</t>
  </si>
  <si>
    <t xml:space="preserve">K_MH_SAND</t>
  </si>
  <si>
    <t xml:space="preserve">cft/MH</t>
  </si>
  <si>
    <t xml:space="preserve">K_MH_AGG</t>
  </si>
  <si>
    <t xml:space="preserve">K_MH_STEEL</t>
  </si>
  <si>
    <t xml:space="preserve">kg/MH</t>
  </si>
  <si>
    <t xml:space="preserve">K_GT_BRICKS</t>
  </si>
  <si>
    <t xml:space="preserve">Nos/GT</t>
  </si>
  <si>
    <t xml:space="preserve">K_GT_CEM</t>
  </si>
  <si>
    <t xml:space="preserve">bag/GT</t>
  </si>
  <si>
    <t xml:space="preserve">K_GT_SAND</t>
  </si>
  <si>
    <t xml:space="preserve">cft/GT</t>
  </si>
  <si>
    <t xml:space="preserve">K_GT_AGG</t>
  </si>
  <si>
    <t xml:space="preserve">K_GAS_PIPE_PT</t>
  </si>
  <si>
    <t xml:space="preserve">K_GAS_FIT_PT</t>
  </si>
  <si>
    <t xml:space="preserve">K_KIT_BASE_SHUT</t>
  </si>
  <si>
    <t xml:space="preserve">K_KIT_EDGE_RFT</t>
  </si>
  <si>
    <t xml:space="preserve">K_KIT_HW_RFT</t>
  </si>
  <si>
    <t xml:space="preserve">set/rft</t>
  </si>
  <si>
    <t xml:space="preserve">K_KIT_WALL_SHUT</t>
  </si>
  <si>
    <t xml:space="preserve">K_KIT_TOP_SFT_RFT</t>
  </si>
  <si>
    <t xml:space="preserve">K_WARD_BOARD</t>
  </si>
  <si>
    <t xml:space="preserve">K_WARD_HW</t>
  </si>
  <si>
    <t xml:space="preserve">set/sft</t>
  </si>
  <si>
    <t xml:space="preserve">K_BW_BRICKS</t>
  </si>
  <si>
    <t xml:space="preserve">K_BW_MORT_WET</t>
  </si>
  <si>
    <t xml:space="preserve">bag/rft</t>
  </si>
  <si>
    <t xml:space="preserve">masonry mortar</t>
  </si>
  <si>
    <t xml:space="preserve">K_BW_PCC_SEC</t>
  </si>
  <si>
    <t xml:space="preserve">PCC base</t>
  </si>
  <si>
    <t xml:space="preserve">K_RWH_BLANK_RFT</t>
  </si>
  <si>
    <t xml:space="preserve">rft/well</t>
  </si>
  <si>
    <t xml:space="preserve">K_RWH_SLOT_RFT</t>
  </si>
  <si>
    <t xml:space="preserve">K_RWH_MEDIA</t>
  </si>
  <si>
    <t xml:space="preserve">cft/well</t>
  </si>
  <si>
    <t xml:space="preserve">Nos/well</t>
  </si>
  <si>
    <t xml:space="preserve">Coeff_ID</t>
  </si>
  <si>
    <t xml:space="preserve">Group</t>
  </si>
  <si>
    <t xml:space="preserve">Description</t>
  </si>
  <si>
    <t xml:space="preserve">Value</t>
  </si>
  <si>
    <t xml:space="preserve">Basis / Formula</t>
  </si>
  <si>
    <t xml:space="preserve">General</t>
  </si>
  <si>
    <t xml:space="preserve">Unity driver (1 unit of material per unit of work item)</t>
  </si>
  <si>
    <t xml:space="preserve">Used where material qty = work qty</t>
  </si>
  <si>
    <t xml:space="preserve">Definition</t>
  </si>
  <si>
    <t xml:space="preserve">K_CFT_M3</t>
  </si>
  <si>
    <t xml:space="preserve">Cubic feet per cubic metre</t>
  </si>
  <si>
    <t xml:space="preserve">cft/m3</t>
  </si>
  <si>
    <t xml:space="preserve">Exact conversion</t>
  </si>
  <si>
    <t xml:space="preserve">SI definition</t>
  </si>
  <si>
    <t xml:space="preserve">K_SFT_M2</t>
  </si>
  <si>
    <t xml:space="preserve">Square feet per square metre</t>
  </si>
  <si>
    <t xml:space="preserve">sft/m2</t>
  </si>
  <si>
    <t xml:space="preserve">K_FT_M</t>
  </si>
  <si>
    <t xml:space="preserve">Feet per metre</t>
  </si>
  <si>
    <t xml:space="preserve">ft/m</t>
  </si>
  <si>
    <t xml:space="preserve">K_CEM_DENS</t>
  </si>
  <si>
    <t xml:space="preserve">Bulk density of cement</t>
  </si>
  <si>
    <t xml:space="preserve">kg/m3</t>
  </si>
  <si>
    <t xml:space="preserve">Loose bulk density used in PK/South-Asian estimating</t>
  </si>
  <si>
    <t xml:space="preserve">Standard estimating practice</t>
  </si>
  <si>
    <t xml:space="preserve">K_BAG_KG</t>
  </si>
  <si>
    <t xml:space="preserve">Cement bag mass</t>
  </si>
  <si>
    <t xml:space="preserve">kg/bag</t>
  </si>
  <si>
    <t xml:space="preserve">Standard PK bag</t>
  </si>
  <si>
    <t xml:space="preserve">PS 232 / market standard</t>
  </si>
  <si>
    <t xml:space="preserve">K_BAG_CFT</t>
  </si>
  <si>
    <t xml:space="preserve">Volume of one 50 kg cement bag</t>
  </si>
  <si>
    <t xml:space="preserve">cft/bag</t>
  </si>
  <si>
    <t xml:space="preserve">Rule: bag kg / density x cft per m3 (~1.226)</t>
  </si>
  <si>
    <t xml:space="preserve">K_WC</t>
  </si>
  <si>
    <t xml:space="preserve">Water-cement ratio (by mass) for mixing water</t>
  </si>
  <si>
    <t xml:space="preserve">Nominal-mix default; RMC/design mix overrides</t>
  </si>
  <si>
    <t xml:space="preserve">Engineering default - verify</t>
  </si>
  <si>
    <t xml:space="preserve">K_DF_CONC</t>
  </si>
  <si>
    <t xml:space="preserve">Dry volume factor - concrete</t>
  </si>
  <si>
    <t xml:space="preserve">Wet-to-dry volume (voids + bulking + wastage in handling)</t>
  </si>
  <si>
    <t xml:space="preserve">Standard estimating practice (also used in current app rules.py)</t>
  </si>
  <si>
    <t xml:space="preserve">K_DF_MORT</t>
  </si>
  <si>
    <t xml:space="preserve">Dry volume factor - mortar/plaster</t>
  </si>
  <si>
    <t xml:space="preserve">Wet-to-dry volume for cement-sand mortar</t>
  </si>
  <si>
    <t xml:space="preserve">K_GAL_L</t>
  </si>
  <si>
    <t xml:space="preserve">Litres per Pakistani paint 'gallon' pack</t>
  </si>
  <si>
    <t xml:space="preserve">L/gal</t>
  </si>
  <si>
    <t xml:space="preserve">Local paint packs are 3.64 L (verify brand pack size)</t>
  </si>
  <si>
    <t xml:space="preserve">Market practice - verify</t>
  </si>
  <si>
    <t xml:space="preserve">K_BRK_L</t>
  </si>
  <si>
    <t xml:space="preserve">Actual brick length (measure site sample)</t>
  </si>
  <si>
    <t xml:space="preserve">in</t>
  </si>
  <si>
    <t xml:space="preserve">Class-A kiln bricks are usually smaller than nominal 9in</t>
  </si>
  <si>
    <t xml:space="preserve">Measure on site; nominal 9x4.5x3</t>
  </si>
  <si>
    <t xml:space="preserve">K_BRK_W</t>
  </si>
  <si>
    <t xml:space="preserve">Actual brick width</t>
  </si>
  <si>
    <t xml:space="preserve">Measure on site</t>
  </si>
  <si>
    <t xml:space="preserve">K_BRK_H</t>
  </si>
  <si>
    <t xml:space="preserve">Actual brick height</t>
  </si>
  <si>
    <t xml:space="preserve">K_JOINT</t>
  </si>
  <si>
    <t xml:space="preserve">Mortar joint thickness</t>
  </si>
  <si>
    <t xml:space="preserve">3/8 in standard</t>
  </si>
  <si>
    <t xml:space="preserve">Standard practice</t>
  </si>
  <si>
    <t xml:space="preserve">Bricks per cft of masonry (net, before wastage)</t>
  </si>
  <si>
    <t xml:space="preserve">Rule: 1728/((L+j)(W+j)(H+j))</t>
  </si>
  <si>
    <t xml:space="preserve">Derived; cross-check with PK rule 1350/100 cft</t>
  </si>
  <si>
    <t xml:space="preserve">K_BRK_STD_PER_CFT</t>
  </si>
  <si>
    <t xml:space="preserve">PK conventional figure (reference only)</t>
  </si>
  <si>
    <t xml:space="preserve">1350 bricks per 100 cft (commonly quoted; includes some allowance)</t>
  </si>
  <si>
    <t xml:space="preserve">civilsir.com; civilengineerspk.com</t>
  </si>
  <si>
    <t xml:space="preserve">Wet mortar per cft of brick masonry</t>
  </si>
  <si>
    <t xml:space="preserve">Rule: 1 - bricks x brick volume</t>
  </si>
  <si>
    <t xml:space="preserve">Derived (~0.22-0.25 wet; ~0.30 dry)</t>
  </si>
  <si>
    <t xml:space="preserve">K_T_WALL9</t>
  </si>
  <si>
    <t xml:space="preserve">Thickness of 9in wall</t>
  </si>
  <si>
    <t xml:space="preserve">ft</t>
  </si>
  <si>
    <t xml:space="preserve">Drawing: 9in walls</t>
  </si>
  <si>
    <t xml:space="preserve">K_T_WALL45</t>
  </si>
  <si>
    <t xml:space="preserve">Thickness of 4.5in wall</t>
  </si>
  <si>
    <t xml:space="preserve">Drawing: 4.5in partitions</t>
  </si>
  <si>
    <t xml:space="preserve">Bricks per sft of 4.5in wall</t>
  </si>
  <si>
    <t xml:space="preserve">Wet mortar per sft of 4.5in wall</t>
  </si>
  <si>
    <t xml:space="preserve">Bricks per sft - flat soling</t>
  </si>
  <si>
    <t xml:space="preserve">Sand for grouting joints of soling</t>
  </si>
  <si>
    <t xml:space="preserve">Estimating allowance - verify</t>
  </si>
  <si>
    <t xml:space="preserve">K_RTILE_L</t>
  </si>
  <si>
    <t xml:space="preserve">Roof brick tile length</t>
  </si>
  <si>
    <t xml:space="preserve">9x4.5x1.5 burnt tiles</t>
  </si>
  <si>
    <t xml:space="preserve">Market practice</t>
  </si>
  <si>
    <t xml:space="preserve">K_RTILE_W</t>
  </si>
  <si>
    <t xml:space="preserve">Roof brick tile width</t>
  </si>
  <si>
    <t xml:space="preserve">Roof tiles per sft</t>
  </si>
  <si>
    <t xml:space="preserve">Concrete blocks 8x8x16 per sft of wall face</t>
  </si>
  <si>
    <t xml:space="preserve">Wet mortar per sft of 8in block wall</t>
  </si>
  <si>
    <t xml:space="preserve">Allowance (bed + perp joints)</t>
  </si>
  <si>
    <t xml:space="preserve">Chicken mesh strip at RCC/brick junction per sft of plaster</t>
  </si>
  <si>
    <t xml:space="preserve">Allowance; measure actual junction length when available</t>
  </si>
  <si>
    <t xml:space="preserve">K_PL_T_INT</t>
  </si>
  <si>
    <t xml:space="preserve">Internal plaster thickness</t>
  </si>
  <si>
    <t xml:space="preserve">Typical spec</t>
  </si>
  <si>
    <t xml:space="preserve">K_PL_T_EXT</t>
  </si>
  <si>
    <t xml:space="preserve">External plaster thickness</t>
  </si>
  <si>
    <t xml:space="preserve">Typical spec; drawing shows 3/4in on plinth</t>
  </si>
  <si>
    <t xml:space="preserve">K_PL_T_CEIL</t>
  </si>
  <si>
    <t xml:space="preserve">Ceiling plaster thickness</t>
  </si>
  <si>
    <t xml:space="preserve">K_PL_EXTRA</t>
  </si>
  <si>
    <t xml:space="preserve">Extra for uneven surface / joint filling</t>
  </si>
  <si>
    <t xml:space="preserve">Estimating allowance</t>
  </si>
  <si>
    <t xml:space="preserve">Wet mortar per sft internal plaster</t>
  </si>
  <si>
    <t xml:space="preserve">Wet mortar per sft external plaster</t>
  </si>
  <si>
    <t xml:space="preserve">Wet mortar per sft ceiling plaster</t>
  </si>
  <si>
    <t xml:space="preserve">Corner bead per sft of plaster</t>
  </si>
  <si>
    <t xml:space="preserve">Allowance; measure external corners when available</t>
  </si>
  <si>
    <t xml:space="preserve">K_BED_T</t>
  </si>
  <si>
    <t xml:space="preserve">Tile/marble bedding mortar thickness</t>
  </si>
  <si>
    <t xml:space="preserve">Traditional mortar-bed method</t>
  </si>
  <si>
    <t xml:space="preserve">Typical practice</t>
  </si>
  <si>
    <t xml:space="preserve">Wet bedding mortar per sft</t>
  </si>
  <si>
    <t xml:space="preserve">K_DPC_T</t>
  </si>
  <si>
    <t xml:space="preserve">DPC thickness (drawing: 1.5in PCC 1:2:4)</t>
  </si>
  <si>
    <t xml:space="preserve">DPC concrete per sft</t>
  </si>
  <si>
    <t xml:space="preserve">K_BIT_KG_SFT_COAT</t>
  </si>
  <si>
    <t xml:space="preserve">Hot bitumen per sft per coat</t>
  </si>
  <si>
    <t xml:space="preserve">kg/sft/coat</t>
  </si>
  <si>
    <t xml:space="preserve">~1.5 kg/m2/coat</t>
  </si>
  <si>
    <t xml:space="preserve">K_DPC_BIT_COATS</t>
  </si>
  <si>
    <t xml:space="preserve">Bitumen coats on DPC</t>
  </si>
  <si>
    <t xml:space="preserve">coats</t>
  </si>
  <si>
    <t xml:space="preserve">Drawing: two coats of bitumen</t>
  </si>
  <si>
    <t xml:space="preserve">Bitumen per sft of DPC</t>
  </si>
  <si>
    <t xml:space="preserve">K_POLY_OVERLAP</t>
  </si>
  <si>
    <t xml:space="preserve">Polythene overlap allowance</t>
  </si>
  <si>
    <t xml:space="preserve">K_DPC_POLY_LAYERS</t>
  </si>
  <si>
    <t xml:space="preserve">Polythene layers on DPC</t>
  </si>
  <si>
    <t xml:space="preserve">layers</t>
  </si>
  <si>
    <t xml:space="preserve">Drawing: double layer high-density plastic sheet</t>
  </si>
  <si>
    <t xml:space="preserve">Polythene per sft DPC</t>
  </si>
  <si>
    <t xml:space="preserve">K_WPADMIX_KG_BAG</t>
  </si>
  <si>
    <t xml:space="preserve">Integral waterproofing admixture per cement bag</t>
  </si>
  <si>
    <t xml:space="preserve">Per manufacturer (powder e.g. 'Puddlo'-type, or liquid equivalent)</t>
  </si>
  <si>
    <t xml:space="preserve">Manufacturer - verify</t>
  </si>
  <si>
    <t xml:space="preserve">WP admixture per sft DPC</t>
  </si>
  <si>
    <t xml:space="preserve">K_RF_BIT_COATS</t>
  </si>
  <si>
    <t xml:space="preserve">Bitumen coats on roof</t>
  </si>
  <si>
    <t xml:space="preserve">Typical PK roof treatment</t>
  </si>
  <si>
    <t xml:space="preserve">Bitumen per sft roof</t>
  </si>
  <si>
    <t xml:space="preserve">Polythene per sft roof (1 layer)</t>
  </si>
  <si>
    <t xml:space="preserve">K_RF_EARTH_T</t>
  </si>
  <si>
    <t xml:space="preserve">Roof earth/mud insulation avg thickness</t>
  </si>
  <si>
    <t xml:space="preserve">Traditional; laid to slope</t>
  </si>
  <si>
    <t xml:space="preserve">Earth per sft roof (incl. 20% compaction)</t>
  </si>
  <si>
    <t xml:space="preserve">K_RF_MUD_T</t>
  </si>
  <si>
    <t xml:space="preserve">Mud plaster (leeping) thickness</t>
  </si>
  <si>
    <t xml:space="preserve">Mud for plaster per sft</t>
  </si>
  <si>
    <t xml:space="preserve">Straw (bhoosa) in mud plaster</t>
  </si>
  <si>
    <t xml:space="preserve">Allowance - verify</t>
  </si>
  <si>
    <t xml:space="preserve">K_RF_BED_T</t>
  </si>
  <si>
    <t xml:space="preserve">Roof tile bedding mortar thickness</t>
  </si>
  <si>
    <t xml:space="preserve">Roof tile bedding mortar per sft</t>
  </si>
  <si>
    <t xml:space="preserve">K_SCREED_T</t>
  </si>
  <si>
    <t xml:space="preserve">Avg slope screed thickness (roof/terrace/bath)</t>
  </si>
  <si>
    <t xml:space="preserve">Slope 1:100 towards khuras</t>
  </si>
  <si>
    <t xml:space="preserve">Drawing: roof slope 0.01-0.02</t>
  </si>
  <si>
    <t xml:space="preserve">Screed per sft</t>
  </si>
  <si>
    <t xml:space="preserve">Cementitious WP coating (2 coats)</t>
  </si>
  <si>
    <t xml:space="preserve">~2 kg/m2 total</t>
  </si>
  <si>
    <t xml:space="preserve">K_APRON_T</t>
  </si>
  <si>
    <t xml:space="preserve">Plinth protection / apron PCC thickness</t>
  </si>
  <si>
    <t xml:space="preserve">PCC per sft apron</t>
  </si>
  <si>
    <t xml:space="preserve">Loose-to-compacted factor for earth fill</t>
  </si>
  <si>
    <t xml:space="preserve">Imported earth measured loose</t>
  </si>
  <si>
    <t xml:space="preserve">Estimating practice</t>
  </si>
  <si>
    <t xml:space="preserve">Loose-to-compacted factor for sand fill</t>
  </si>
  <si>
    <t xml:space="preserve">Anti-termite concentrate per sft treated</t>
  </si>
  <si>
    <t xml:space="preserve">Diluted per label; verify active ingredient</t>
  </si>
  <si>
    <t xml:space="preserve">Manufacturer label - verify</t>
  </si>
  <si>
    <t xml:space="preserve">K_ST_FTG_M3</t>
  </si>
  <si>
    <t xml:space="preserve">Steel</t>
  </si>
  <si>
    <t xml:space="preserve">Steel ratio - footings</t>
  </si>
  <si>
    <t xml:space="preserve">Use only if no BBS</t>
  </si>
  <si>
    <t xml:space="preserve">Current app rules.py (60-100)</t>
  </si>
  <si>
    <t xml:space="preserve">K_ST_COL_M3</t>
  </si>
  <si>
    <t xml:space="preserve">Steel ratio - columns</t>
  </si>
  <si>
    <t xml:space="preserve">Current app rules.py (140-200)</t>
  </si>
  <si>
    <t xml:space="preserve">K_ST_BEAM_M3</t>
  </si>
  <si>
    <t xml:space="preserve">Steel ratio - beams</t>
  </si>
  <si>
    <t xml:space="preserve">Current app rules.py (110-160)</t>
  </si>
  <si>
    <t xml:space="preserve">K_ST_SLAB_M3</t>
  </si>
  <si>
    <t xml:space="preserve">Steel ratio - slabs</t>
  </si>
  <si>
    <t xml:space="preserve">Current app rules.py (70-100)</t>
  </si>
  <si>
    <t xml:space="preserve">K_ST_STAIR_M3</t>
  </si>
  <si>
    <t xml:space="preserve">Steel ratio - stairs</t>
  </si>
  <si>
    <t xml:space="preserve">Current app rules.py</t>
  </si>
  <si>
    <t xml:space="preserve">K_ST_LINTEL_M3</t>
  </si>
  <si>
    <t xml:space="preserve">Steel ratio - lintels/bands/chajjas</t>
  </si>
  <si>
    <t xml:space="preserve">K_ST_PB_M3</t>
  </si>
  <si>
    <t xml:space="preserve">Steel ratio - plinth beams</t>
  </si>
  <si>
    <t xml:space="preserve">K_ST_TANK_M3</t>
  </si>
  <si>
    <t xml:space="preserve">Steel ratio - water/septic tanks</t>
  </si>
  <si>
    <t xml:space="preserve">3/8in @6in c/c both faces per drawing</t>
  </si>
  <si>
    <t xml:space="preserve">Estimated from sheet 16 details</t>
  </si>
  <si>
    <t xml:space="preserve">K_ST_FTG</t>
  </si>
  <si>
    <t xml:space="preserve">Steel per cft - footings</t>
  </si>
  <si>
    <t xml:space="preserve">K_ST_COL</t>
  </si>
  <si>
    <t xml:space="preserve">Steel per cft - columns</t>
  </si>
  <si>
    <t xml:space="preserve">K_ST_BEAM</t>
  </si>
  <si>
    <t xml:space="preserve">Steel per cft - beams</t>
  </si>
  <si>
    <t xml:space="preserve">K_ST_SLAB</t>
  </si>
  <si>
    <t xml:space="preserve">Steel per cft - slabs</t>
  </si>
  <si>
    <t xml:space="preserve">K_ST_STAIR</t>
  </si>
  <si>
    <t xml:space="preserve">Steel per cft - stairs</t>
  </si>
  <si>
    <t xml:space="preserve">K_ST_LINTEL</t>
  </si>
  <si>
    <t xml:space="preserve">Steel per cft - lintels/bands</t>
  </si>
  <si>
    <t xml:space="preserve">K_ST_PB</t>
  </si>
  <si>
    <t xml:space="preserve">Steel per cft - plinth beams</t>
  </si>
  <si>
    <t xml:space="preserve">K_ST_TANK</t>
  </si>
  <si>
    <t xml:space="preserve">Steel per cft - tanks</t>
  </si>
  <si>
    <t xml:space="preserve">Bar split - slab #3 (10mm)</t>
  </si>
  <si>
    <t xml:space="preserve">fraction</t>
  </si>
  <si>
    <t xml:space="preserve">Distribution/temperature bars</t>
  </si>
  <si>
    <t xml:space="preserve">Typical - replace with BBS</t>
  </si>
  <si>
    <t xml:space="preserve">Bar split - slab #4 (12mm)</t>
  </si>
  <si>
    <t xml:space="preserve">Main bars</t>
  </si>
  <si>
    <t xml:space="preserve">Bar split - beam #3 stirrups</t>
  </si>
  <si>
    <t xml:space="preserve">Typical</t>
  </si>
  <si>
    <t xml:space="preserve">Bar split - beam #4</t>
  </si>
  <si>
    <t xml:space="preserve">Bar split - beam #5</t>
  </si>
  <si>
    <t xml:space="preserve">Bar split - column #3 ties</t>
  </si>
  <si>
    <t xml:space="preserve">Bar split - column #4</t>
  </si>
  <si>
    <t xml:space="preserve">Drawing sec AA shows #4</t>
  </si>
  <si>
    <t xml:space="preserve">Bar split - column #5</t>
  </si>
  <si>
    <t xml:space="preserve">Bar split - footing #3</t>
  </si>
  <si>
    <t xml:space="preserve">Drawing: #3 @6in c/c mats</t>
  </si>
  <si>
    <t xml:space="preserve">Drawing sheet 14</t>
  </si>
  <si>
    <t xml:space="preserve">Bar split - footing #4</t>
  </si>
  <si>
    <t xml:space="preserve">Bar split - lintel/band #3</t>
  </si>
  <si>
    <t xml:space="preserve">Bar split - lintel/band #4</t>
  </si>
  <si>
    <t xml:space="preserve">Binding wire per kg rebar</t>
  </si>
  <si>
    <t xml:space="preserve">~10 kg per tonne</t>
  </si>
  <si>
    <t xml:space="preserve">Estimating practice (8-12 kg/t)</t>
  </si>
  <si>
    <t xml:space="preserve">Cover blocks/spacers per cft RCC</t>
  </si>
  <si>
    <t xml:space="preserve">Props per sft of slab/beam soffit formwork</t>
  </si>
  <si>
    <t xml:space="preserve">~1 prop per 12 sft (3x4 ft grid)</t>
  </si>
  <si>
    <t xml:space="preserve">Nails per sft of timber formwork</t>
  </si>
  <si>
    <t xml:space="preserve">1 kg per 100 sft</t>
  </si>
  <si>
    <t xml:space="preserve">Release oil per sft formwork</t>
  </si>
  <si>
    <t xml:space="preserve">K_FORM_REUSE</t>
  </si>
  <si>
    <t xml:space="preserve">Reuses of plywood/timber</t>
  </si>
  <si>
    <t xml:space="preserve">uses</t>
  </si>
  <si>
    <t xml:space="preserve">Plywood per sft of formwork (after reuse)</t>
  </si>
  <si>
    <t xml:space="preserve">Timber battens per sft formwork (after reuse)</t>
  </si>
  <si>
    <t xml:space="preserve">Tile adhesive per sft (6mm notch)</t>
  </si>
  <si>
    <t xml:space="preserve">~4.5 kg/m2</t>
  </si>
  <si>
    <t xml:space="preserve">Grout per sft</t>
  </si>
  <si>
    <t xml:space="preserve">Depends on tile size/joint</t>
  </si>
  <si>
    <t xml:space="preserve">Tile spacers per sft</t>
  </si>
  <si>
    <t xml:space="preserve">White cement slurry/joints per sft marble</t>
  </si>
  <si>
    <t xml:space="preserve">K_SKIRT_H</t>
  </si>
  <si>
    <t xml:space="preserve">Skirting height</t>
  </si>
  <si>
    <t xml:space="preserve">Skirting material per rft</t>
  </si>
  <si>
    <t xml:space="preserve">K_STEP_GOING</t>
  </si>
  <si>
    <t xml:space="preserve">Stair going (tread)</t>
  </si>
  <si>
    <t xml:space="preserve">Typical; from stair drawing</t>
  </si>
  <si>
    <t xml:space="preserve">K_STEP_RISER</t>
  </si>
  <si>
    <t xml:space="preserve">Stair riser</t>
  </si>
  <si>
    <t xml:space="preserve">Marble per rft of step (tread+riser)</t>
  </si>
  <si>
    <t xml:space="preserve">incl. 1.5in nosing</t>
  </si>
  <si>
    <t xml:space="preserve">Marble sill/threshold per rft</t>
  </si>
  <si>
    <t xml:space="preserve">9in deep</t>
  </si>
  <si>
    <t xml:space="preserve">Sand bedding for pavers per sft</t>
  </si>
  <si>
    <t xml:space="preserve">2in compacted</t>
  </si>
  <si>
    <t xml:space="preserve">K_CHOG_W</t>
  </si>
  <si>
    <t xml:space="preserve">Chogath width (padaam)</t>
  </si>
  <si>
    <t xml:space="preserve">Drawing: 5in single / 10in double rebate</t>
  </si>
  <si>
    <t xml:space="preserve">Drawing sheet 20</t>
  </si>
  <si>
    <t xml:space="preserve">K_CHOG_T</t>
  </si>
  <si>
    <t xml:space="preserve">Chogath thickness</t>
  </si>
  <si>
    <t xml:space="preserve">Typical - confirm</t>
  </si>
  <si>
    <t xml:space="preserve">Timber per rft of chogath</t>
  </si>
  <si>
    <t xml:space="preserve">Holdfasts per rft of frame</t>
  </si>
  <si>
    <t xml:space="preserve">3 per jamb</t>
  </si>
  <si>
    <t xml:space="preserve">Glass area / window opening area</t>
  </si>
  <si>
    <t xml:space="preserve">Aluminium frames take ~20%</t>
  </si>
  <si>
    <t xml:space="preserve">Mosquito net area / window area</t>
  </si>
  <si>
    <t xml:space="preserve">Openable sashes only</t>
  </si>
  <si>
    <t xml:space="preserve">K_SIL_RFT_TUBE</t>
  </si>
  <si>
    <t xml:space="preserve">Silicone bead length per 300 ml tube</t>
  </si>
  <si>
    <t xml:space="preserve">rft/tube</t>
  </si>
  <si>
    <t xml:space="preserve">6x6 mm bead</t>
  </si>
  <si>
    <t xml:space="preserve">Silicone tubes per sft window (both sides, ~4x4 ft)</t>
  </si>
  <si>
    <t xml:space="preserve">perimeter ~1 rft per sft</t>
  </si>
  <si>
    <t xml:space="preserve">MS grill weight</t>
  </si>
  <si>
    <t xml:space="preserve">Square bar 1/2in @4-5in</t>
  </si>
  <si>
    <t xml:space="preserve">Allowance - design dependent</t>
  </si>
  <si>
    <t xml:space="preserve">MS gate weight (sheet + pipe frame)</t>
  </si>
  <si>
    <t xml:space="preserve">18-16 SWG sheet + 2in pipe</t>
  </si>
  <si>
    <t xml:space="preserve">Wall putty, 2 coats</t>
  </si>
  <si>
    <t xml:space="preserve">~12 sft/kg</t>
  </si>
  <si>
    <t xml:space="preserve">K_PRIMER_COV</t>
  </si>
  <si>
    <t xml:space="preserve">Primer/sealer coverage per coat</t>
  </si>
  <si>
    <t xml:space="preserve">sft/gal</t>
  </si>
  <si>
    <t xml:space="preserve">K_EMUL_COV</t>
  </si>
  <si>
    <t xml:space="preserve">Interior emulsion coverage per coat</t>
  </si>
  <si>
    <t xml:space="preserve">K_EMUL_COATS</t>
  </si>
  <si>
    <t xml:space="preserve">Interior emulsion coats</t>
  </si>
  <si>
    <t xml:space="preserve">K_EXT_COV</t>
  </si>
  <si>
    <t xml:space="preserve">Exterior weather coat coverage per coat</t>
  </si>
  <si>
    <t xml:space="preserve">K_EXT_COATS</t>
  </si>
  <si>
    <t xml:space="preserve">Exterior coats</t>
  </si>
  <si>
    <t xml:space="preserve">K_ENAM_COV</t>
  </si>
  <si>
    <t xml:space="preserve">Enamel coverage per coat</t>
  </si>
  <si>
    <t xml:space="preserve">K_ENAM_COATS</t>
  </si>
  <si>
    <t xml:space="preserve">Enamel coats</t>
  </si>
  <si>
    <t xml:space="preserve">K_MPRIM_COV</t>
  </si>
  <si>
    <t xml:space="preserve">Metal primer coverage</t>
  </si>
  <si>
    <t xml:space="preserve">Primer gal per sft (1 coat)</t>
  </si>
  <si>
    <t xml:space="preserve">Emulsion gal per sft</t>
  </si>
  <si>
    <t xml:space="preserve">Exterior paint gal per sft</t>
  </si>
  <si>
    <t xml:space="preserve">Enamel gal per sft</t>
  </si>
  <si>
    <t xml:space="preserve">Metal primer gal per sft</t>
  </si>
  <si>
    <t xml:space="preserve">Thinner per sft enamel/lacquer</t>
  </si>
  <si>
    <t xml:space="preserve">Wood lacquer/polish (3 coats)</t>
  </si>
  <si>
    <t xml:space="preserve">K_TEXTURE_KG_SFT</t>
  </si>
  <si>
    <t xml:space="preserve">Texture coating</t>
  </si>
  <si>
    <t xml:space="preserve">~1.7 kg/m2</t>
  </si>
  <si>
    <t xml:space="preserve">GI channels per sft false ceiling</t>
  </si>
  <si>
    <t xml:space="preserve">Main @4ft + furring @2ft</t>
  </si>
  <si>
    <t xml:space="preserve">Typical system</t>
  </si>
  <si>
    <t xml:space="preserve">Joint compound per sft</t>
  </si>
  <si>
    <t xml:space="preserve">Carcass board per sft of wardrobe face</t>
  </si>
  <si>
    <t xml:space="preserve">sides, back, shelves, top/bottom</t>
  </si>
  <si>
    <t xml:space="preserve">Hardware sets per sft of wardrobe face</t>
  </si>
  <si>
    <t xml:space="preserve">~1 set per 8 sft (one shutter)</t>
  </si>
  <si>
    <t xml:space="preserve">Shutter area per rft base cabinet</t>
  </si>
  <si>
    <t xml:space="preserve">Shutter area per rft wall cabinet</t>
  </si>
  <si>
    <t xml:space="preserve">Countertop area per rft</t>
  </si>
  <si>
    <t xml:space="preserve">24in deep</t>
  </si>
  <si>
    <t xml:space="preserve">Edge banding per rft of cabinet</t>
  </si>
  <si>
    <t xml:space="preserve">Hardware sets per rft cabinet</t>
  </si>
  <si>
    <t xml:space="preserve">K_EL_ROUTE</t>
  </si>
  <si>
    <t xml:space="preserve">Route factor on straight-line DB-to-point distance</t>
  </si>
  <si>
    <t xml:space="preserve">For geometric method</t>
  </si>
  <si>
    <t xml:space="preserve">Conduit 3/4in per light/fan point</t>
  </si>
  <si>
    <t xml:space="preserve">rft/point</t>
  </si>
  <si>
    <t xml:space="preserve">Allowance - verify vs layout</t>
  </si>
  <si>
    <t xml:space="preserve">3/29 wire per light/fan point (P+N)</t>
  </si>
  <si>
    <t xml:space="preserve">m/point</t>
  </si>
  <si>
    <t xml:space="preserve">Earth wire per light point</t>
  </si>
  <si>
    <t xml:space="preserve">Conduit 3/4in per 13A socket</t>
  </si>
  <si>
    <t xml:space="preserve">7/29 wire per socket (P+N)</t>
  </si>
  <si>
    <t xml:space="preserve">Earth wire per socket</t>
  </si>
  <si>
    <t xml:space="preserve">7/29 wire per 15A/geyser point</t>
  </si>
  <si>
    <t xml:space="preserve">Conduit 1in per AC point</t>
  </si>
  <si>
    <t xml:space="preserve">Direct from DB</t>
  </si>
  <si>
    <t xml:space="preserve">7/36 wire per AC point (P+N)</t>
  </si>
  <si>
    <t xml:space="preserve">Earth wire per AC point</t>
  </si>
  <si>
    <t xml:space="preserve">Conduit per TV/data/intercom point</t>
  </si>
  <si>
    <t xml:space="preserve">RG6/CAT6 cable per LV point</t>
  </si>
  <si>
    <t xml:space="preserve">Conduit fittings per point</t>
  </si>
  <si>
    <t xml:space="preserve">Nos/point</t>
  </si>
  <si>
    <t xml:space="preserve">bends, couplers, round boxes</t>
  </si>
  <si>
    <t xml:space="preserve">Sub-main wire per rft run (P+N, +10%)</t>
  </si>
  <si>
    <t xml:space="preserve">Sub-main earth per rft run</t>
  </si>
  <si>
    <t xml:space="preserve">Bare copper conductor per earth pit</t>
  </si>
  <si>
    <t xml:space="preserve">PPR 20mm CW per WC</t>
  </si>
  <si>
    <t xml:space="preserve">uPVC 4in soil per WC</t>
  </si>
  <si>
    <t xml:space="preserve">PPR fittings per WC</t>
  </si>
  <si>
    <t xml:space="preserve">PPR 20mm CW per basin</t>
  </si>
  <si>
    <t xml:space="preserve">PPR 20mm HW per basin</t>
  </si>
  <si>
    <t xml:space="preserve">uPVC 2in waste per basin</t>
  </si>
  <si>
    <t xml:space="preserve">PPR fittings per basin</t>
  </si>
  <si>
    <t xml:space="preserve">PPR 20mm CW per shower</t>
  </si>
  <si>
    <t xml:space="preserve">PPR 20mm HW per shower</t>
  </si>
  <si>
    <t xml:space="preserve">PPR fittings per shower</t>
  </si>
  <si>
    <t xml:space="preserve">PPR 20mm CW per health faucet</t>
  </si>
  <si>
    <t xml:space="preserve">uPVC 3in waste per floor trap</t>
  </si>
  <si>
    <t xml:space="preserve">PPR 20mm CW per kitchen sink</t>
  </si>
  <si>
    <t xml:space="preserve">PPR 20mm HW per kitchen sink</t>
  </si>
  <si>
    <t xml:space="preserve">uPVC 2-3in waste per kitchen sink</t>
  </si>
  <si>
    <t xml:space="preserve">PPR 20mm CW per washing machine</t>
  </si>
  <si>
    <t xml:space="preserve">PPR 25mm riser/header per bathroom</t>
  </si>
  <si>
    <t xml:space="preserve">uPVC vent 2-3in per bathroom stack</t>
  </si>
  <si>
    <t xml:space="preserve">extend 1 ft above roof (drawing note)</t>
  </si>
  <si>
    <t xml:space="preserve">uPVC fittings per bathroom</t>
  </si>
  <si>
    <t xml:space="preserve">Solvent cement per bathroom</t>
  </si>
  <si>
    <t xml:space="preserve">Isolation valves per bathroom</t>
  </si>
  <si>
    <t xml:space="preserve">Drawing: isolation valve at every wall entry</t>
  </si>
  <si>
    <t xml:space="preserve">Drawing sheet 25 note</t>
  </si>
  <si>
    <t xml:space="preserve">Pipe clamps per bathroom</t>
  </si>
  <si>
    <t xml:space="preserve">Sand bedding per rft sewer trench</t>
  </si>
  <si>
    <t xml:space="preserve">2ft wide x 3in (drawing trench detail)</t>
  </si>
  <si>
    <t xml:space="preserve">Clamps per rft rainwater pipe</t>
  </si>
  <si>
    <t xml:space="preserve">1 per 3 ft</t>
  </si>
  <si>
    <t xml:space="preserve">GI pipe per gas point</t>
  </si>
  <si>
    <t xml:space="preserve">GI fittings per gas point</t>
  </si>
  <si>
    <t xml:space="preserve">K_GAS_WRAP</t>
  </si>
  <si>
    <t xml:space="preserve">Wrapping tape per rft buried GI</t>
  </si>
  <si>
    <t xml:space="preserve">K_MH_IN</t>
  </si>
  <si>
    <t xml:space="preserve">Manhole internal size (square)</t>
  </si>
  <si>
    <t xml:space="preserve">Up to 3ft depth type</t>
  </si>
  <si>
    <t xml:space="preserve">K_MH_WALL</t>
  </si>
  <si>
    <t xml:space="preserve">Manhole wall thickness</t>
  </si>
  <si>
    <t xml:space="preserve">9in brick 1:4</t>
  </si>
  <si>
    <t xml:space="preserve">K_MH_DEPTH</t>
  </si>
  <si>
    <t xml:space="preserve">Manhole average depth</t>
  </si>
  <si>
    <t xml:space="preserve">K_MH_BASE_T</t>
  </si>
  <si>
    <t xml:space="preserve">Manhole PCC base thickness</t>
  </si>
  <si>
    <t xml:space="preserve">PCC 1:4:8</t>
  </si>
  <si>
    <t xml:space="preserve">K_MH_SLAB_T</t>
  </si>
  <si>
    <t xml:space="preserve">Manhole RCC cover slab thickness</t>
  </si>
  <si>
    <t xml:space="preserve">RCC 1:2:4</t>
  </si>
  <si>
    <t xml:space="preserve">K_MH_BRK_CFT</t>
  </si>
  <si>
    <t xml:space="preserve">Brickwork per manhole</t>
  </si>
  <si>
    <t xml:space="preserve">centreline perimeter x t x depth</t>
  </si>
  <si>
    <t xml:space="preserve">K_MH_PCC_CFT</t>
  </si>
  <si>
    <t xml:space="preserve">PCC per manhole</t>
  </si>
  <si>
    <t xml:space="preserve">6in projection each side</t>
  </si>
  <si>
    <t xml:space="preserve">K_MH_RCC_CFT</t>
  </si>
  <si>
    <t xml:space="preserve">RCC slab per manhole</t>
  </si>
  <si>
    <t xml:space="preserve">K_MH_PL_SFT</t>
  </si>
  <si>
    <t xml:space="preserve">Internal plaster per manhole</t>
  </si>
  <si>
    <t xml:space="preserve">sft/MH</t>
  </si>
  <si>
    <t xml:space="preserve">Bricks per manhole</t>
  </si>
  <si>
    <t xml:space="preserve">Cement per manhole (masonry 1:4 + PCC + RCC + plaster 1:3)</t>
  </si>
  <si>
    <t xml:space="preserve">bags/MH</t>
  </si>
  <si>
    <t xml:space="preserve">Sand per manhole</t>
  </si>
  <si>
    <t xml:space="preserve">Crush per manhole</t>
  </si>
  <si>
    <t xml:space="preserve">Steel per manhole cover slab</t>
  </si>
  <si>
    <t xml:space="preserve">#4 top &amp; bottom per drawing</t>
  </si>
  <si>
    <t xml:space="preserve">Bricks per gully trap</t>
  </si>
  <si>
    <t xml:space="preserve">Allowance from GT detail</t>
  </si>
  <si>
    <t xml:space="preserve">Cement per gully trap</t>
  </si>
  <si>
    <t xml:space="preserve">bags/GT</t>
  </si>
  <si>
    <t xml:space="preserve">Sand per gully trap</t>
  </si>
  <si>
    <t xml:space="preserve">Crush per gully trap</t>
  </si>
  <si>
    <t xml:space="preserve">Copper pipe pair per split AC</t>
  </si>
  <si>
    <t xml:space="preserve">Pre-piping indoor-&gt;outdoor</t>
  </si>
  <si>
    <t xml:space="preserve">Allowance - measure</t>
  </si>
  <si>
    <t xml:space="preserve">Insulation per split AC (both pipes)</t>
  </si>
  <si>
    <t xml:space="preserve">Interconnect cable per AC</t>
  </si>
  <si>
    <t xml:space="preserve">Condensate drain per AC</t>
  </si>
  <si>
    <t xml:space="preserve">to nearest floor trap (drawing note)</t>
  </si>
  <si>
    <t xml:space="preserve">K_BW_H</t>
  </si>
  <si>
    <t xml:space="preserve">Boundary wall height above plinth</t>
  </si>
  <si>
    <t xml:space="preserve">Check society bylaws</t>
  </si>
  <si>
    <t xml:space="preserve">K_BW_FDN_SEC</t>
  </si>
  <si>
    <t xml:space="preserve">Boundary wall brick foundation section</t>
  </si>
  <si>
    <t xml:space="preserve">e.g. 1.5ft x 1.5ft stepped</t>
  </si>
  <si>
    <t xml:space="preserve">Boundary wall PCC section</t>
  </si>
  <si>
    <t xml:space="preserve">2ft x 3in</t>
  </si>
  <si>
    <t xml:space="preserve">K_BW_PILLAR</t>
  </si>
  <si>
    <t xml:space="preserve">Pillar/pier extra</t>
  </si>
  <si>
    <t xml:space="preserve">pillars @10ft</t>
  </si>
  <si>
    <t xml:space="preserve">K_BW_BRK_CFT</t>
  </si>
  <si>
    <t xml:space="preserve">Brickwork per rft boundary wall</t>
  </si>
  <si>
    <t xml:space="preserve">K_RWH_DEPTH</t>
  </si>
  <si>
    <t xml:space="preserve">Recharge well depth</t>
  </si>
  <si>
    <t xml:space="preserve">80-150 ft depending on sector</t>
  </si>
  <si>
    <t xml:space="preserve">primarcstudio.com (CDA 2026)</t>
  </si>
  <si>
    <t xml:space="preserve">K_RWH_SLOT</t>
  </si>
  <si>
    <t xml:space="preserve">Slotted pipe fraction of depth</t>
  </si>
  <si>
    <t xml:space="preserve">Slotted pipe per well</t>
  </si>
  <si>
    <t xml:space="preserve">Blank casing per well</t>
  </si>
  <si>
    <t xml:space="preserve">Filter media (gravel/sand/charcoal) per well</t>
  </si>
  <si>
    <t xml:space="preserve">filter pit ~4x4x4 ft</t>
  </si>
  <si>
    <t xml:space="preserve">K_WATER_L_BAG</t>
  </si>
  <si>
    <t xml:space="preserve">Construction water per cement bag (mixing+curing)</t>
  </si>
  <si>
    <t xml:space="preserve">L/bag</t>
  </si>
  <si>
    <t xml:space="preserve">~25 L mixing + curing</t>
  </si>
  <si>
    <t xml:space="preserve">Adhesive per rft skirting</t>
  </si>
  <si>
    <t xml:space="preserve">Bricks per rft boundary wall</t>
  </si>
  <si>
    <t xml:space="preserve">Wet mortar per rft boundary wall</t>
  </si>
  <si>
    <t xml:space="preserve">WP admixture per cft tank RCC</t>
  </si>
  <si>
    <t xml:space="preserve">WP admixture per sft tank plaster</t>
  </si>
  <si>
    <t xml:space="preserve">PP fibre per sft screed (0.9 kg/m3)</t>
  </si>
  <si>
    <t xml:space="preserve">K_PIPE_L</t>
  </si>
  <si>
    <t xml:space="preserve">Standard pipe length (uPVC/PPR)</t>
  </si>
  <si>
    <t xml:space="preserve">PPR 4 m (13.1 ft); uPVC 10-13 ft - round-up basis</t>
  </si>
  <si>
    <t xml:space="preserve">K_AC_SFT_TON</t>
  </si>
  <si>
    <t xml:space="preserve">Floor area served per ton of cooling (check only)</t>
  </si>
  <si>
    <t xml:space="preserve">sft/ton</t>
  </si>
  <si>
    <t xml:space="preserve">Islamabad residential rule of thumb 120-150</t>
  </si>
  <si>
    <t xml:space="preserve">Estimating practice - verify with heat load</t>
  </si>
  <si>
    <t xml:space="preserve">K_WIRE_COIL_M</t>
  </si>
  <si>
    <t xml:space="preserve">House-wire coil length</t>
  </si>
  <si>
    <t xml:space="preserve">m/coil</t>
  </si>
  <si>
    <t xml:space="preserve">PK coils ~90 m (verify brand)</t>
  </si>
  <si>
    <t xml:space="preserve">K_TROLLEY_CFT</t>
  </si>
  <si>
    <t xml:space="preserve">Tractor-trolley capacity (debris/earth)</t>
  </si>
  <si>
    <t xml:space="preserve">cft/trip</t>
  </si>
  <si>
    <t xml:space="preserve">100-120 cft</t>
  </si>
  <si>
    <t xml:space="preserve">Mix_ID</t>
  </si>
  <si>
    <t xml:space="preserve">Typical Use</t>
  </si>
  <si>
    <t xml:space="preserve">Cement parts</t>
  </si>
  <si>
    <t xml:space="preserve">Sand parts</t>
  </si>
  <si>
    <t xml:space="preserve">Aggregate parts</t>
  </si>
  <si>
    <t xml:space="preserve">Dry Volume Factor</t>
  </si>
  <si>
    <t xml:space="preserve">Sum of parts</t>
  </si>
  <si>
    <t xml:space="preserve">Cement cft per cft wet</t>
  </si>
  <si>
    <t xml:space="preserve">Cement bags per cft</t>
  </si>
  <si>
    <t xml:space="preserve">Sand cft per cft</t>
  </si>
  <si>
    <t xml:space="preserve">Aggregate cft per cft</t>
  </si>
  <si>
    <t xml:space="preserve">Cement bags per m3</t>
  </si>
  <si>
    <t xml:space="preserve">Sand m3 per m3</t>
  </si>
  <si>
    <t xml:space="preserve">Aggregate m3 per m3</t>
  </si>
  <si>
    <t xml:space="preserve">Water L per cft</t>
  </si>
  <si>
    <t xml:space="preserve">Foundation base, under-floor PCC (drawing)</t>
  </si>
  <si>
    <t xml:space="preserve">Drawing sheets 14/15/16</t>
  </si>
  <si>
    <t xml:space="preserve">MX_PCC136</t>
  </si>
  <si>
    <t xml:space="preserve">PCC 1:3:6</t>
  </si>
  <si>
    <t xml:space="preserve">Floor base / blinding alternative</t>
  </si>
  <si>
    <t xml:space="preserve">RCC 1:2:4 (~M15/2500 psi nominal)</t>
  </si>
  <si>
    <t xml:space="preserve">Footings, columns, beams, slabs, tanks (drawing spec)</t>
  </si>
  <si>
    <t xml:space="preserve">Drawing sheets 14/16/24</t>
  </si>
  <si>
    <t xml:space="preserve">MX_RCC1153</t>
  </si>
  <si>
    <t xml:space="preserve">RCC 1:1.5:3 (~M20/3000 psi nominal)</t>
  </si>
  <si>
    <t xml:space="preserve">Recommended for slabs/columns in seismic zone 2B</t>
  </si>
  <si>
    <t xml:space="preserve">Engineer to confirm; BCP-2021</t>
  </si>
  <si>
    <t xml:space="preserve">DPC 1:2:4 with 3/8in aggregate</t>
  </si>
  <si>
    <t xml:space="preserve">Damp-proof course 1.5in</t>
  </si>
  <si>
    <t xml:space="preserve">Mortar 1:3</t>
  </si>
  <si>
    <t xml:space="preserve">Tank/manhole plaster, pointing</t>
  </si>
  <si>
    <t xml:space="preserve">Mortar 1:4</t>
  </si>
  <si>
    <t xml:space="preserve">External plaster, 4.5in walls, manholes, tile bedding</t>
  </si>
  <si>
    <t xml:space="preserve">Drawing sheet 24 (brickwork 1:4)</t>
  </si>
  <si>
    <t xml:space="preserve">MX_MOR15</t>
  </si>
  <si>
    <t xml:space="preserve">Mortar 1:5</t>
  </si>
  <si>
    <t xml:space="preserve">Alternative plaster</t>
  </si>
  <si>
    <t xml:space="preserve">Mortar 1:6</t>
  </si>
  <si>
    <t xml:space="preserve">9in masonry, internal plaster</t>
  </si>
  <si>
    <t xml:space="preserve">Current app (FDN-MAS-01 1:6)</t>
  </si>
  <si>
    <t xml:space="preserve">Default %</t>
  </si>
  <si>
    <t xml:space="preserve">Min %</t>
  </si>
  <si>
    <t xml:space="preserve">Max %</t>
  </si>
  <si>
    <t xml:space="preserve">Applies To</t>
  </si>
  <si>
    <t xml:space="preserve">Basis / Reason</t>
  </si>
  <si>
    <t xml:space="preserve">Materials Using Key</t>
  </si>
  <si>
    <t xml:space="preserve">Cement (bags)</t>
  </si>
  <si>
    <t xml:space="preserve">Handling, bag damage, setting in store</t>
  </si>
  <si>
    <t xml:space="preserve">Sand</t>
  </si>
  <si>
    <t xml:space="preserve">Loose delivery losses, bulking variation, spillage</t>
  </si>
  <si>
    <t xml:space="preserve">Crush/aggregate</t>
  </si>
  <si>
    <t xml:space="preserve">Spillage, over-excavated bases</t>
  </si>
  <si>
    <t xml:space="preserve">Rebar (kg)</t>
  </si>
  <si>
    <t xml:space="preserve">Cut-offs; laps are measured separately in BBS</t>
  </si>
  <si>
    <t xml:space="preserve">Bricks</t>
  </si>
  <si>
    <t xml:space="preserve">Breakage in transport &amp; cutting (Class-A kiln bricks)</t>
  </si>
  <si>
    <t xml:space="preserve">Concrete blocks</t>
  </si>
  <si>
    <t xml:space="preserve">Breakage</t>
  </si>
  <si>
    <t xml:space="preserve">Floor tiles/pavers</t>
  </si>
  <si>
    <t xml:space="preserve">Cutting at edges; +3% for diagonal laying</t>
  </si>
  <si>
    <t xml:space="preserve">Wall tiles / cladding</t>
  </si>
  <si>
    <t xml:space="preserve">Cutting around openings &amp; fixtures</t>
  </si>
  <si>
    <t xml:space="preserve">Marble/granite slabs</t>
  </si>
  <si>
    <t xml:space="preserve">Slab yield, edge cutting, veining selection</t>
  </si>
  <si>
    <t xml:space="preserve">Paints/primers</t>
  </si>
  <si>
    <t xml:space="preserve">Can residues, roller absorption</t>
  </si>
  <si>
    <t xml:space="preserve">Wall putty</t>
  </si>
  <si>
    <t xml:space="preserve">Sanding loss</t>
  </si>
  <si>
    <t xml:space="preserve">Building wires, LV cables</t>
  </si>
  <si>
    <t xml:space="preserve">Drops at boxes, DB terminations, route deviations</t>
  </si>
  <si>
    <t xml:space="preserve">PVC conduit</t>
  </si>
  <si>
    <t xml:space="preserve">Cut-offs, bends</t>
  </si>
  <si>
    <t xml:space="preserve">PPR / GI pipes</t>
  </si>
  <si>
    <t xml:space="preserve">Cut-offs; pipes sold in 4 m lengths</t>
  </si>
  <si>
    <t xml:space="preserve">uPVC pipes</t>
  </si>
  <si>
    <t xml:space="preserve">Cut-offs</t>
  </si>
  <si>
    <t xml:space="preserve">Pipe/conduit fittings</t>
  </si>
  <si>
    <t xml:space="preserve">Breakage, mis-sizing</t>
  </si>
  <si>
    <t xml:space="preserve">Solid timber (chogath, frames)</t>
  </si>
  <si>
    <t xml:space="preserve">Sawing, defects, planing</t>
  </si>
  <si>
    <t xml:space="preserve">MDF/plywood/boards</t>
  </si>
  <si>
    <t xml:space="preserve">Sheet nesting losses</t>
  </si>
  <si>
    <t xml:space="preserve">Breakage, cutting</t>
  </si>
  <si>
    <t xml:space="preserve">Aluminium/uPVC sections</t>
  </si>
  <si>
    <t xml:space="preserve">Profile cutting (standard 16-19 ft lengths)</t>
  </si>
  <si>
    <t xml:space="preserve">Gypsum/PVC ceiling</t>
  </si>
  <si>
    <t xml:space="preserve">Board cutting</t>
  </si>
  <si>
    <t xml:space="preserve">Polythene / membranes</t>
  </si>
  <si>
    <t xml:space="preserve">Laps are in coefficient; this is handling loss</t>
  </si>
  <si>
    <t xml:space="preserve">Bitumen</t>
  </si>
  <si>
    <t xml:space="preserve">Heating loss, spillage</t>
  </si>
  <si>
    <t xml:space="preserve">Ready-mix concrete</t>
  </si>
  <si>
    <t xml:space="preserve">Pump line, over-break</t>
  </si>
  <si>
    <t xml:space="preserve">Earth fill</t>
  </si>
  <si>
    <t xml:space="preserve">Compaction/bulking handled by K_FILL_COMPACT</t>
  </si>
  <si>
    <t xml:space="preserve">Counted items (Nos/sets/LS)</t>
  </si>
  <si>
    <t xml:space="preserve">Counted items - no wastage</t>
  </si>
  <si>
    <t xml:space="preserve">Tile adhesive</t>
  </si>
  <si>
    <t xml:space="preserve">Mixing losses</t>
  </si>
  <si>
    <t xml:space="preserve">Tile grout</t>
  </si>
  <si>
    <t xml:space="preserve">Mixing &amp; cleaning losses</t>
  </si>
  <si>
    <t xml:space="preserve">MS sections (angles, pipes, grills)</t>
  </si>
  <si>
    <t xml:space="preserve">Cut-offs from 20 ft lengths</t>
  </si>
  <si>
    <t xml:space="preserve">Copper pipes/conductors</t>
  </si>
  <si>
    <t xml:space="preserve">Flaring, route deviations</t>
  </si>
  <si>
    <t xml:space="preserve">Main cables</t>
  </si>
  <si>
    <t xml:space="preserve">Terminations</t>
  </si>
  <si>
    <t xml:space="preserve">General consumables</t>
  </si>
  <si>
    <t xml:space="preserve">Default</t>
  </si>
  <si>
    <t xml:space="preserve">Param_ID</t>
  </si>
  <si>
    <t xml:space="preserve">Data Type</t>
  </si>
  <si>
    <t xml:space="preserve">Source in Drawing Set</t>
  </si>
  <si>
    <t xml:space="preserve">AI-Extractable?</t>
  </si>
  <si>
    <t xml:space="preserve">Validation / Typical Range</t>
  </si>
  <si>
    <t xml:space="preserve">Sample Project Value</t>
  </si>
  <si>
    <t xml:space="preserve">PROJECT_NAME</t>
  </si>
  <si>
    <t xml:space="preserve">Project</t>
  </si>
  <si>
    <t xml:space="preserve">Project name</t>
  </si>
  <si>
    <t xml:space="preserve">text</t>
  </si>
  <si>
    <t xml:space="preserve">Title block</t>
  </si>
  <si>
    <t xml:space="preserve">High</t>
  </si>
  <si>
    <t xml:space="preserve">5 Marla - Mr. Sameer Shah</t>
  </si>
  <si>
    <t xml:space="preserve">MARLA_SFT</t>
  </si>
  <si>
    <t xml:space="preserve">Square feet per marla used by authority</t>
  </si>
  <si>
    <t xml:space="preserve">number</t>
  </si>
  <si>
    <t xml:space="preserve">User / authority (CDA 272.25 vs 225 in some societies)</t>
  </si>
  <si>
    <t xml:space="preserve">No - user</t>
  </si>
  <si>
    <t xml:space="preserve">225 or 272.25</t>
  </si>
  <si>
    <t xml:space="preserve">272.25</t>
  </si>
  <si>
    <t xml:space="preserve">PLOT_W</t>
  </si>
  <si>
    <t xml:space="preserve">Plot width</t>
  </si>
  <si>
    <t xml:space="preserve">20-60 ft</t>
  </si>
  <si>
    <t xml:space="preserve">33</t>
  </si>
  <si>
    <t xml:space="preserve">PLOT_D</t>
  </si>
  <si>
    <t xml:space="preserve">Plot depth</t>
  </si>
  <si>
    <t xml:space="preserve">40-90 ft</t>
  </si>
  <si>
    <t xml:space="preserve">41</t>
  </si>
  <si>
    <t xml:space="preserve">SITE_W</t>
  </si>
  <si>
    <t xml:space="preserve">Site working width (for prelims)</t>
  </si>
  <si>
    <t xml:space="preserve">SITE_D</t>
  </si>
  <si>
    <t xml:space="preserve">Site working depth</t>
  </si>
  <si>
    <t xml:space="preserve">Building</t>
  </si>
  <si>
    <t xml:space="preserve">Number of floors (excl. mumty)</t>
  </si>
  <si>
    <t xml:space="preserve">integer</t>
  </si>
  <si>
    <t xml:space="preserve">1-3</t>
  </si>
  <si>
    <t xml:space="preserve">2 + mumty</t>
  </si>
  <si>
    <t xml:space="preserve">H_PLINTH</t>
  </si>
  <si>
    <t xml:space="preserve">Levels</t>
  </si>
  <si>
    <t xml:space="preserve">Plinth height above road/NSL</t>
  </si>
  <si>
    <t xml:space="preserve">1-3 ft</t>
  </si>
  <si>
    <t xml:space="preserve">1.5</t>
  </si>
  <si>
    <t xml:space="preserve">H_FLOOR</t>
  </si>
  <si>
    <t xml:space="preserve">Floor-to-floor height</t>
  </si>
  <si>
    <t xml:space="preserve">Elevations/sections</t>
  </si>
  <si>
    <t xml:space="preserve">10-12.5</t>
  </si>
  <si>
    <t xml:space="preserve">11.5</t>
  </si>
  <si>
    <t xml:space="preserve">T_SLAB</t>
  </si>
  <si>
    <t xml:space="preserve">Slab thickness</t>
  </si>
  <si>
    <t xml:space="preserve">Elevations / structural</t>
  </si>
  <si>
    <t xml:space="preserve">Medium</t>
  </si>
  <si>
    <t xml:space="preserve">5-7</t>
  </si>
  <si>
    <t xml:space="preserve">6</t>
  </si>
  <si>
    <t xml:space="preserve">H_PARAPET</t>
  </si>
  <si>
    <t xml:space="preserve">Parapet height</t>
  </si>
  <si>
    <t xml:space="preserve">2-4</t>
  </si>
  <si>
    <t xml:space="preserve">2-3</t>
  </si>
  <si>
    <t xml:space="preserve">H_MUMTY</t>
  </si>
  <si>
    <t xml:space="preserve">Mumty clear height</t>
  </si>
  <si>
    <t xml:space="preserve">7.5-9</t>
  </si>
  <si>
    <t xml:space="preserve">8.5</t>
  </si>
  <si>
    <t xml:space="preserve">Walls</t>
  </si>
  <si>
    <t xml:space="preserve">Centre-line length of walls by thickness (9in, 4.5in) per floor</t>
  </si>
  <si>
    <t xml:space="preserve">table</t>
  </si>
  <si>
    <t xml:space="preserve">Working plans</t>
  </si>
  <si>
    <t xml:space="preserve">Medium (vector PDF better)</t>
  </si>
  <si>
    <t xml:space="preserve">Check vs perimeter</t>
  </si>
  <si>
    <t xml:space="preserve">see Formula_Demo</t>
  </si>
  <si>
    <t xml:space="preserve">WALL_H</t>
  </si>
  <si>
    <t xml:space="preserve">Wall height per floor (floor-to-soffit)</t>
  </si>
  <si>
    <t xml:space="preserve">formula: H_FLOOR-T_SLAB/12</t>
  </si>
  <si>
    <t xml:space="preserve">OPENINGS</t>
  </si>
  <si>
    <t xml:space="preserve">Openings</t>
  </si>
  <si>
    <t xml:space="preserve">Door/window/ventilator schedule: type, W, H, sill, count, location</t>
  </si>
  <si>
    <t xml:space="preserve">D&amp;W sheets, chogath schedule</t>
  </si>
  <si>
    <t xml:space="preserve">Medium (widths often missing)</t>
  </si>
  <si>
    <t xml:space="preserve">W&lt;=12 ft; H&lt;=10 ft</t>
  </si>
  <si>
    <t xml:space="preserve">Doors 15 nos; window widths missing</t>
  </si>
  <si>
    <t xml:space="preserve">Door schedule (size, chogath width, leaf type, qty)</t>
  </si>
  <si>
    <t xml:space="preserve">Chogath sheet</t>
  </si>
  <si>
    <t xml:space="preserve">Rooms</t>
  </si>
  <si>
    <t xml:space="preserve">Room list: name, type, floor, L, W, clear height, finish tier</t>
  </si>
  <si>
    <t xml:space="preserve">Furniture/working plans</t>
  </si>
  <si>
    <t xml:space="preserve">High (labels &amp; dims printed)</t>
  </si>
  <si>
    <t xml:space="preserve">Area sum &lt;= covered area</t>
  </si>
  <si>
    <t xml:space="preserve">see Sample_Project_Extract</t>
  </si>
  <si>
    <t xml:space="preserve">FDN_STRIP_LEN</t>
  </si>
  <si>
    <t xml:space="preserve">Foundation</t>
  </si>
  <si>
    <t xml:space="preserve">Strip foundation centre-line length per section type</t>
  </si>
  <si>
    <t xml:space="preserve">~ wall CL length</t>
  </si>
  <si>
    <t xml:space="preserve">Sections 1.1-6.6</t>
  </si>
  <si>
    <t xml:space="preserve">FDN_SECTION</t>
  </si>
  <si>
    <t xml:space="preserve">Footing step widths/depths per section</t>
  </si>
  <si>
    <t xml:space="preserve">Foundation details</t>
  </si>
  <si>
    <t xml:space="preserve">FDN_DEPTH</t>
  </si>
  <si>
    <t xml:space="preserve">Depth of foundation below NSL</t>
  </si>
  <si>
    <t xml:space="preserve">2.5-5</t>
  </si>
  <si>
    <t xml:space="preserve">2.5 / 3.5</t>
  </si>
  <si>
    <t xml:space="preserve">Isolated footings: mark, L, B, D, count</t>
  </si>
  <si>
    <t xml:space="preserve">Column/footing plan</t>
  </si>
  <si>
    <t xml:space="preserve">C1 4x4; C2,C3 3x3</t>
  </si>
  <si>
    <t xml:space="preserve">Columns: mark, b, d, height, count, bars</t>
  </si>
  <si>
    <t xml:space="preserve">Column schedule</t>
  </si>
  <si>
    <t xml:space="preserve">Beams: mark, b, d, length, bars</t>
  </si>
  <si>
    <t xml:space="preserve">Beam layout (missing)</t>
  </si>
  <si>
    <t xml:space="preserve">Low - missing</t>
  </si>
  <si>
    <t xml:space="preserve">Not provided</t>
  </si>
  <si>
    <t xml:space="preserve">Plinth/tie beam length &amp; section</t>
  </si>
  <si>
    <t xml:space="preserve">Low</t>
  </si>
  <si>
    <t xml:space="preserve">BAND_LEN</t>
  </si>
  <si>
    <t xml:space="preserve">Seismic lintel/roof band length</t>
  </si>
  <si>
    <t xml:space="preserve">formula: WALL_CL_LEN (load-bearing)</t>
  </si>
  <si>
    <t xml:space="preserve">Structural (missing)</t>
  </si>
  <si>
    <t xml:space="preserve">Zone 2B: bands recommended</t>
  </si>
  <si>
    <t xml:space="preserve">SLAB</t>
  </si>
  <si>
    <t xml:space="preserve">Slab panels: area, thickness, voids per floor</t>
  </si>
  <si>
    <t xml:space="preserve">Slab layout (missing) -&gt; use covered area</t>
  </si>
  <si>
    <t xml:space="preserve">Use covered area</t>
  </si>
  <si>
    <t xml:space="preserve">Gross slab area per level</t>
  </si>
  <si>
    <t xml:space="preserve">Area statement / plans</t>
  </si>
  <si>
    <t xml:space="preserve">SLAB_VOID</t>
  </si>
  <si>
    <t xml:space="preserve">Stair/shaft voids</t>
  </si>
  <si>
    <t xml:space="preserve">Stair: width, flights, risers, treads, waist, landing</t>
  </si>
  <si>
    <t xml:space="preserve">Plans/sections</t>
  </si>
  <si>
    <t xml:space="preserve">R 6-7in; T 10-11in</t>
  </si>
  <si>
    <t xml:space="preserve">12'-9 x 9' stair hall</t>
  </si>
  <si>
    <t xml:space="preserve">Roof area requiring treatment (incl. mumty roof)</t>
  </si>
  <si>
    <t xml:space="preserve">Mumty/roof plan</t>
  </si>
  <si>
    <t xml:space="preserve">TERRACE_AREA</t>
  </si>
  <si>
    <t xml:space="preserve">Open terraces/balconies requiring WP</t>
  </si>
  <si>
    <t xml:space="preserve">FF plan</t>
  </si>
  <si>
    <t xml:space="preserve">External elevation area (net of openings)</t>
  </si>
  <si>
    <t xml:space="preserve">Elevation cladding/feature areas by material</t>
  </si>
  <si>
    <t xml:space="preserve">Low (materials unlabelled)</t>
  </si>
  <si>
    <t xml:space="preserve">Fixture counts per room: WC, basin, shower, HF, sink, WM, FT</t>
  </si>
  <si>
    <t xml:space="preserve">Plumbing plans / symbols</t>
  </si>
  <si>
    <t xml:space="preserve">High (symbol count)</t>
  </si>
  <si>
    <t xml:space="preserve">Floor trap count</t>
  </si>
  <si>
    <t xml:space="preserve">Gully trap count</t>
  </si>
  <si>
    <t xml:space="preserve">Manholes: count, depth class, cover size</t>
  </si>
  <si>
    <t xml:space="preserve">MH_COUNT</t>
  </si>
  <si>
    <t xml:space="preserve">Manhole count</t>
  </si>
  <si>
    <t xml:space="preserve">External sewer length (house to main)</t>
  </si>
  <si>
    <t xml:space="preserve">Site/plumbing plan</t>
  </si>
  <si>
    <t xml:space="preserve">Rain-water pipes &amp; khuras</t>
  </si>
  <si>
    <t xml:space="preserve">Roof plan</t>
  </si>
  <si>
    <t xml:space="preserve">1 per 400-500 sft roof</t>
  </si>
  <si>
    <t xml:space="preserve">TANK</t>
  </si>
  <si>
    <t xml:space="preserve">Tanks (UG, OH, septic): internal L,W,D, wall t, base t, slab t, bars</t>
  </si>
  <si>
    <t xml:space="preserve">Tank details</t>
  </si>
  <si>
    <t xml:space="preserve">UG water tank dims</t>
  </si>
  <si>
    <t xml:space="preserve">3'-6 x 5'-0 / 8'-3 x 5'-6</t>
  </si>
  <si>
    <t xml:space="preserve">OH tank type &amp; capacity</t>
  </si>
  <si>
    <t xml:space="preserve">sh.16/23</t>
  </si>
  <si>
    <t xml:space="preserve">600 gal FG vs RCC detail</t>
  </si>
  <si>
    <t xml:space="preserve">TANK_SEPTIC</t>
  </si>
  <si>
    <t xml:space="preserve">Septic tank dims</t>
  </si>
  <si>
    <t xml:space="preserve">sh.16/21</t>
  </si>
  <si>
    <t xml:space="preserve">6'-6x5' vs 8'x4'</t>
  </si>
  <si>
    <t xml:space="preserve">Gas points (cooker, geyser, heaters)</t>
  </si>
  <si>
    <t xml:space="preserve">Point counts by symbol type per room</t>
  </si>
  <si>
    <t xml:space="preserve">Electrical plans + legend</t>
  </si>
  <si>
    <t xml:space="preserve">High (symbol detection)</t>
  </si>
  <si>
    <t xml:space="preserve">EL_DB_DIST</t>
  </si>
  <si>
    <t xml:space="preserve">DB locations &amp; distances (for sub-mains)</t>
  </si>
  <si>
    <t xml:space="preserve">Electrical plans</t>
  </si>
  <si>
    <t xml:space="preserve">Split AC count &amp; tonnage</t>
  </si>
  <si>
    <t xml:space="preserve">Electrical symbols</t>
  </si>
  <si>
    <t xml:space="preserve">1 ton/120-150 sft</t>
  </si>
  <si>
    <t xml:space="preserve">Exhaust fans</t>
  </si>
  <si>
    <t xml:space="preserve">Earth pits</t>
  </si>
  <si>
    <t xml:space="preserve">Earthing detail</t>
  </si>
  <si>
    <t xml:space="preserve">min 2</t>
  </si>
  <si>
    <t xml:space="preserve">Boundary wall length excluding shared walls</t>
  </si>
  <si>
    <t xml:space="preserve">Gate width &amp; height</t>
  </si>
  <si>
    <t xml:space="preserve">GF plan</t>
  </si>
  <si>
    <t xml:space="preserve">~11 ft</t>
  </si>
  <si>
    <t xml:space="preserve">Porch/driveway paved area</t>
  </si>
  <si>
    <t xml:space="preserve">12 x 16'-9</t>
  </si>
  <si>
    <t xml:space="preserve">Other paved areas</t>
  </si>
  <si>
    <t xml:space="preserve">BALCONY</t>
  </si>
  <si>
    <t xml:space="preserve">Balcony areas &amp; railing length</t>
  </si>
  <si>
    <t xml:space="preserve">Wardrobes: W x H x D, count</t>
  </si>
  <si>
    <t xml:space="preserve">Furniture plans</t>
  </si>
  <si>
    <t xml:space="preserve">High (label)</t>
  </si>
  <si>
    <t xml:space="preserve">Recharge well required? depth</t>
  </si>
  <si>
    <t xml:space="preserve">Y/N + ft</t>
  </si>
  <si>
    <t xml:space="preserve">Y / 100</t>
  </si>
  <si>
    <t xml:space="preserve">Authority rule (not in drawings)</t>
  </si>
  <si>
    <t xml:space="preserve">CDA by-law</t>
  </si>
  <si>
    <t xml:space="preserve">NGL</t>
  </si>
  <si>
    <t xml:space="preserve">Natural ground level vs road</t>
  </si>
  <si>
    <t xml:space="preserve">Survey (missing)</t>
  </si>
  <si>
    <t xml:space="preserve">No</t>
  </si>
  <si>
    <t xml:space="preserve">P_WORKSPACE</t>
  </si>
  <si>
    <t xml:space="preserve">Assumption</t>
  </si>
  <si>
    <t xml:space="preserve">Working space each side in excavation</t>
  </si>
  <si>
    <t xml:space="preserve">0.5-1</t>
  </si>
  <si>
    <t xml:space="preserve">P_BEARING</t>
  </si>
  <si>
    <t xml:space="preserve">Bearing of lintels beyond opening each side</t>
  </si>
  <si>
    <t xml:space="preserve">6-9</t>
  </si>
  <si>
    <t xml:space="preserve">P_BULKING</t>
  </si>
  <si>
    <t xml:space="preserve">Sand bulking allowance (if volume batching)</t>
  </si>
  <si>
    <t xml:space="preserve">%</t>
  </si>
  <si>
    <t xml:space="preserve">0-25% (included in dry factor)</t>
  </si>
  <si>
    <t xml:space="preserve">P_SAND_FILL_T</t>
  </si>
  <si>
    <t xml:space="preserve">Sand fill under GF floor</t>
  </si>
  <si>
    <t xml:space="preserve">3-4</t>
  </si>
  <si>
    <t xml:space="preserve">P_FLOOR_PCC_T</t>
  </si>
  <si>
    <t xml:space="preserve">GF floor PCC thickness</t>
  </si>
  <si>
    <t xml:space="preserve">T_FLOOR_BUILDUP</t>
  </si>
  <si>
    <t xml:space="preserve">Floor build-up above fill (soling+PCC+screed+finish)</t>
  </si>
  <si>
    <t xml:space="preserve">P_APRON_W</t>
  </si>
  <si>
    <t xml:space="preserve">Plinth protection apron width</t>
  </si>
  <si>
    <t xml:space="preserve">FINISH_TIER</t>
  </si>
  <si>
    <t xml:space="preserve">Finish tier: Economy / Standard / Premium</t>
  </si>
  <si>
    <t xml:space="preserve">enum</t>
  </si>
  <si>
    <t xml:space="preserve">User</t>
  </si>
  <si>
    <t xml:space="preserve">CONC_MODE</t>
  </si>
  <si>
    <t xml:space="preserve">Concrete: site-mix nominal or RMC design mix</t>
  </si>
  <si>
    <t xml:space="preserve">Site-mix</t>
  </si>
  <si>
    <t xml:space="preserve">STRUCT_SYSTEM</t>
  </si>
  <si>
    <t xml:space="preserve">Load-bearing masonry / RCC frame / confined masonry</t>
  </si>
  <si>
    <t xml:space="preserve">Load-bearing + RCC slabs</t>
  </si>
  <si>
    <t xml:space="preserve">Drawings + user</t>
  </si>
  <si>
    <t xml:space="preserve">GAS_SOURCE</t>
  </si>
  <si>
    <t xml:space="preserve">SNGPL / LPG / none</t>
  </si>
  <si>
    <t xml:space="preserve">Element_ID</t>
  </si>
  <si>
    <t xml:space="preserve">Element</t>
  </si>
  <si>
    <t xml:space="preserve">Detected From</t>
  </si>
  <si>
    <t xml:space="preserve">Key Attributes to Extract</t>
  </si>
  <si>
    <t xml:space="preserve">Drives Work Items</t>
  </si>
  <si>
    <t xml:space="preserve">AI Detection Method</t>
  </si>
  <si>
    <t xml:space="preserve">Default Confidence</t>
  </si>
  <si>
    <t xml:space="preserve">E-SITE</t>
  </si>
  <si>
    <t xml:space="preserve">Plot / site boundary</t>
  </si>
  <si>
    <t xml:space="preserve">W, D, road side, shared walls</t>
  </si>
  <si>
    <t xml:space="preserve">WI-PRE-01, WI-EX-01</t>
  </si>
  <si>
    <t xml:space="preserve">OCR dims on site plan</t>
  </si>
  <si>
    <t xml:space="preserve">E-ROOM</t>
  </si>
  <si>
    <t xml:space="preserve">Room / space</t>
  </si>
  <si>
    <t xml:space="preserve">Furniture &amp; working plans</t>
  </si>
  <si>
    <t xml:space="preserve">name, type, L, W, floor, height</t>
  </si>
  <si>
    <t xml:space="preserve">WI-FL-*, WI-PL-*, WI-PT-*, WI-CL-01</t>
  </si>
  <si>
    <t xml:space="preserve">OCR room label 'NAME LxW' + keyword map to Room_Finish_Defaults</t>
  </si>
  <si>
    <t xml:space="preserve">Sample labels follow 'NAME 12'-0''x13'-0''' pattern</t>
  </si>
  <si>
    <t xml:space="preserve">E-WALL9</t>
  </si>
  <si>
    <t xml:space="preserve">External/load-bearing wall 9in</t>
  </si>
  <si>
    <t xml:space="preserve">CL length, height, floor, openings</t>
  </si>
  <si>
    <t xml:space="preserve">WI-MS-01, WI-PL-01/02, WI-PT-01/03</t>
  </si>
  <si>
    <t xml:space="preserve">Vector line pairs at 9in spacing; or thickness dims</t>
  </si>
  <si>
    <t xml:space="preserve">E-WALL45</t>
  </si>
  <si>
    <t xml:space="preserve">Partition wall 4.5in</t>
  </si>
  <si>
    <t xml:space="preserve">CL length, height</t>
  </si>
  <si>
    <t xml:space="preserve">WI-MS-02, WI-PL-01</t>
  </si>
  <si>
    <t xml:space="preserve">Line pairs at 4.5in</t>
  </si>
  <si>
    <t xml:space="preserve">E-PARAPET</t>
  </si>
  <si>
    <t xml:space="preserve">Parapet wall</t>
  </si>
  <si>
    <t xml:space="preserve">Elevations/roof</t>
  </si>
  <si>
    <t xml:space="preserve">length=roof perimeter, height</t>
  </si>
  <si>
    <t xml:space="preserve">WI-MS-01/02, WI-PL-02</t>
  </si>
  <si>
    <t xml:space="preserve">Roof perimeter x H_PARAPET</t>
  </si>
  <si>
    <t xml:space="preserve">E-FDN-STRIP</t>
  </si>
  <si>
    <t xml:space="preserve">Stepped brick strip footing</t>
  </si>
  <si>
    <t xml:space="preserve">section id, steps (w,h), PCC w/t, length</t>
  </si>
  <si>
    <t xml:space="preserve">WI-EW-01, WI-CN-01, WI-MS-03</t>
  </si>
  <si>
    <t xml:space="preserve">Section table OCR + wall CL mapping</t>
  </si>
  <si>
    <t xml:space="preserve">Sections 1.1-6.6 in sample</t>
  </si>
  <si>
    <t xml:space="preserve">E-FTG-ISO</t>
  </si>
  <si>
    <t xml:space="preserve">Isolated column footing</t>
  </si>
  <si>
    <t xml:space="preserve">L, B, D, bars, count</t>
  </si>
  <si>
    <t xml:space="preserve">WI-EW-02, WI-CN-03, WI-RF-*, WI-FW-*</t>
  </si>
  <si>
    <t xml:space="preserve">Column plan OCR</t>
  </si>
  <si>
    <t xml:space="preserve">C1 4'x4', C2/C3 3'x3'</t>
  </si>
  <si>
    <t xml:space="preserve">E-COL</t>
  </si>
  <si>
    <t xml:space="preserve">RCC column</t>
  </si>
  <si>
    <t xml:space="preserve">Foundation/column details</t>
  </si>
  <si>
    <t xml:space="preserve">b, d, H, bars, ties</t>
  </si>
  <si>
    <t xml:space="preserve">WI-CN-04, WI-RF-02, WI-FW-01</t>
  </si>
  <si>
    <t xml:space="preserve">Schedule OCR</t>
  </si>
  <si>
    <t xml:space="preserve">E-BEAM</t>
  </si>
  <si>
    <t xml:space="preserve">RCC beam / plinth beam</t>
  </si>
  <si>
    <t xml:space="preserve">Structural layout (missing in sample)</t>
  </si>
  <si>
    <t xml:space="preserve">b, d, L, bars</t>
  </si>
  <si>
    <t xml:space="preserve">WI-CN-05, WI-RF-03</t>
  </si>
  <si>
    <t xml:space="preserve">Structural sheet or rule-based default</t>
  </si>
  <si>
    <t xml:space="preserve">Missing in sample -&gt; engineer input</t>
  </si>
  <si>
    <t xml:space="preserve">E-BAND</t>
  </si>
  <si>
    <t xml:space="preserve">Seismic lintel/roof band</t>
  </si>
  <si>
    <t xml:space="preserve">b, d, L</t>
  </si>
  <si>
    <t xml:space="preserve">WI-CN-08, WI-RF-06</t>
  </si>
  <si>
    <t xml:space="preserve">Rule: wall CL of load-bearing walls</t>
  </si>
  <si>
    <t xml:space="preserve">BCP zone 2B</t>
  </si>
  <si>
    <t xml:space="preserve">E-LINTEL</t>
  </si>
  <si>
    <t xml:space="preserve">Lintel over opening</t>
  </si>
  <si>
    <t xml:space="preserve">D&amp;W sheets</t>
  </si>
  <si>
    <t xml:space="preserve">opening W + 2 bearings, wall t</t>
  </si>
  <si>
    <t xml:space="preserve">From each opening</t>
  </si>
  <si>
    <t xml:space="preserve">E-SLAB</t>
  </si>
  <si>
    <t xml:space="preserve">RCC slab</t>
  </si>
  <si>
    <t xml:space="preserve">Plans / area statement</t>
  </si>
  <si>
    <t xml:space="preserve">area, t, voids</t>
  </si>
  <si>
    <t xml:space="preserve">WI-CN-06, WI-RF-04, WI-FW-01</t>
  </si>
  <si>
    <t xml:space="preserve">Covered area minus voids</t>
  </si>
  <si>
    <t xml:space="preserve">E-STAIR</t>
  </si>
  <si>
    <t xml:space="preserve">RCC stair</t>
  </si>
  <si>
    <t xml:space="preserve">width, flights, R, T, waist</t>
  </si>
  <si>
    <t xml:space="preserve">WI-CN-07, WI-RF-05, WI-FL-*</t>
  </si>
  <si>
    <t xml:space="preserve">Stair symbol + 'UP/DN' + hall dims</t>
  </si>
  <si>
    <t xml:space="preserve">E-DPC</t>
  </si>
  <si>
    <t xml:space="preserve">Damp proof course</t>
  </si>
  <si>
    <t xml:space="preserve">wall CL length at plinth, width</t>
  </si>
  <si>
    <t xml:space="preserve">All walls at plinth</t>
  </si>
  <si>
    <t xml:space="preserve">1.5-2in PCC 1:2:4 + bitumen + polythene</t>
  </si>
  <si>
    <t xml:space="preserve">E-ROOF</t>
  </si>
  <si>
    <t xml:space="preserve">Roof / terrace</t>
  </si>
  <si>
    <t xml:space="preserve">Mumty / roof plan</t>
  </si>
  <si>
    <t xml:space="preserve">area, slopes, outlets</t>
  </si>
  <si>
    <t xml:space="preserve">WI-WP-02/03, WI-PB-09/10</t>
  </si>
  <si>
    <t xml:space="preserve">Roof outline area</t>
  </si>
  <si>
    <t xml:space="preserve">E-DOOR</t>
  </si>
  <si>
    <t xml:space="preserve">Door</t>
  </si>
  <si>
    <t xml:space="preserve">D&amp;W + chogath schedule</t>
  </si>
  <si>
    <t xml:space="preserve">W, H, chogath width, leaf type, count</t>
  </si>
  <si>
    <t xml:space="preserve">WI-DW-01..03, WI-PT-04</t>
  </si>
  <si>
    <t xml:space="preserve">Schedule OCR + plan swing symbols</t>
  </si>
  <si>
    <t xml:space="preserve">E-WINDOW</t>
  </si>
  <si>
    <t xml:space="preserve">Window / ventilator</t>
  </si>
  <si>
    <t xml:space="preserve">W, H, sill, type, glass</t>
  </si>
  <si>
    <t xml:space="preserve">WI-DW-04..06</t>
  </si>
  <si>
    <t xml:space="preserve">Sill/height tags + measured widths</t>
  </si>
  <si>
    <t xml:space="preserve">Sample lacks widths</t>
  </si>
  <si>
    <t xml:space="preserve">E-WARDROBE</t>
  </si>
  <si>
    <t xml:space="preserve">Wardrobe / built-in</t>
  </si>
  <si>
    <t xml:space="preserve">Furniture plan</t>
  </si>
  <si>
    <t xml:space="preserve">W, H, D</t>
  </si>
  <si>
    <t xml:space="preserve">Label 'WARDROBE' + measured length</t>
  </si>
  <si>
    <t xml:space="preserve">E-KITCHEN</t>
  </si>
  <si>
    <t xml:space="preserve">Kitchen cabinets &amp; counter</t>
  </si>
  <si>
    <t xml:space="preserve">counter rft, upper rft, appliances</t>
  </si>
  <si>
    <t xml:space="preserve">WI-KT-01..03</t>
  </si>
  <si>
    <t xml:space="preserve">Room type = kitchen + counter polyline</t>
  </si>
  <si>
    <t xml:space="preserve">E-BATH</t>
  </si>
  <si>
    <t xml:space="preserve">Bathroom group</t>
  </si>
  <si>
    <t xml:space="preserve">WC, basin, shower, FT, HF</t>
  </si>
  <si>
    <t xml:space="preserve">WI-PB-01..06</t>
  </si>
  <si>
    <t xml:space="preserve">Symbol detection in bath room polygon</t>
  </si>
  <si>
    <t xml:space="preserve">E-FT</t>
  </si>
  <si>
    <t xml:space="preserve">Floor trap</t>
  </si>
  <si>
    <t xml:space="preserve">count</t>
  </si>
  <si>
    <t xml:space="preserve">Text 'F.T'</t>
  </si>
  <si>
    <t xml:space="preserve">E-MH</t>
  </si>
  <si>
    <t xml:space="preserve">count, depth, cover</t>
  </si>
  <si>
    <t xml:space="preserve">Text 'M.H'</t>
  </si>
  <si>
    <t xml:space="preserve">E-GT</t>
  </si>
  <si>
    <t xml:space="preserve">Text 'G.T'</t>
  </si>
  <si>
    <t xml:space="preserve">E-SEWER</t>
  </si>
  <si>
    <t xml:space="preserve">External sewer line</t>
  </si>
  <si>
    <t xml:space="preserve">length, dia, depth</t>
  </si>
  <si>
    <t xml:space="preserve">WI-PB-11, WI-EW-03</t>
  </si>
  <si>
    <t xml:space="preserve">Polyline length</t>
  </si>
  <si>
    <t xml:space="preserve">E-RWP</t>
  </si>
  <si>
    <t xml:space="preserve">Rainwater pipe &amp; khura</t>
  </si>
  <si>
    <t xml:space="preserve">Roof plan / details</t>
  </si>
  <si>
    <t xml:space="preserve">count, height</t>
  </si>
  <si>
    <t xml:space="preserve">WI-PB-09/10</t>
  </si>
  <si>
    <t xml:space="preserve">Roof outlets / 'SLOPE' arrows</t>
  </si>
  <si>
    <t xml:space="preserve">E-TANK-UG</t>
  </si>
  <si>
    <t xml:space="preserve">Underground water tank</t>
  </si>
  <si>
    <t xml:space="preserve">dims, t, bars</t>
  </si>
  <si>
    <t xml:space="preserve">WI-EW-03, WI-CN-10, WI-RF-07</t>
  </si>
  <si>
    <t xml:space="preserve">Detail OCR</t>
  </si>
  <si>
    <t xml:space="preserve">E-TANK-OH</t>
  </si>
  <si>
    <t xml:space="preserve">Overhead tank</t>
  </si>
  <si>
    <t xml:space="preserve">Mumty plumbing / tank detail</t>
  </si>
  <si>
    <t xml:space="preserve">type, capacity</t>
  </si>
  <si>
    <t xml:space="preserve">WI-PB-14 / WI-CN-10</t>
  </si>
  <si>
    <t xml:space="preserve">Label '600 GAL'</t>
  </si>
  <si>
    <t xml:space="preserve">E-SEPTIC</t>
  </si>
  <si>
    <t xml:space="preserve">Septic tank</t>
  </si>
  <si>
    <t xml:space="preserve">dims</t>
  </si>
  <si>
    <t xml:space="preserve">E-RISER</t>
  </si>
  <si>
    <t xml:space="preserve">Water/gas risers</t>
  </si>
  <si>
    <t xml:space="preserve">Plumbing details</t>
  </si>
  <si>
    <t xml:space="preserve">sizes, heights</t>
  </si>
  <si>
    <t xml:space="preserve">WI-PB-14, WI-GS-01</t>
  </si>
  <si>
    <t xml:space="preserve">Riser legend OCR</t>
  </si>
  <si>
    <t xml:space="preserve">E-GAS</t>
  </si>
  <si>
    <t xml:space="preserve">Gas point</t>
  </si>
  <si>
    <t xml:space="preserve">Symbol / kitchen default</t>
  </si>
  <si>
    <t xml:space="preserve">E-EL-LT</t>
  </si>
  <si>
    <t xml:space="preserve">Light point</t>
  </si>
  <si>
    <t xml:space="preserve">type, count, room</t>
  </si>
  <si>
    <t xml:space="preserve">Symbol detection vs legend (sh.31)</t>
  </si>
  <si>
    <t xml:space="preserve">High (with legend)</t>
  </si>
  <si>
    <t xml:space="preserve">E-EL-FAN</t>
  </si>
  <si>
    <t xml:space="preserve">Fan point</t>
  </si>
  <si>
    <t xml:space="preserve">Symbol</t>
  </si>
  <si>
    <t xml:space="preserve">E-EL-SK</t>
  </si>
  <si>
    <t xml:space="preserve">13A socket</t>
  </si>
  <si>
    <t xml:space="preserve">E-EL-PW</t>
  </si>
  <si>
    <t xml:space="preserve">15A / cooker / geyser point</t>
  </si>
  <si>
    <t xml:space="preserve">E-EL-AC</t>
  </si>
  <si>
    <t xml:space="preserve">AC point</t>
  </si>
  <si>
    <t xml:space="preserve">count, tonnage</t>
  </si>
  <si>
    <t xml:space="preserve">WI-EL-05, WI-HV-01</t>
  </si>
  <si>
    <t xml:space="preserve">Split unit symbol</t>
  </si>
  <si>
    <t xml:space="preserve">E-EL-LV</t>
  </si>
  <si>
    <t xml:space="preserve">TV/data/intercom point</t>
  </si>
  <si>
    <t xml:space="preserve">count by type</t>
  </si>
  <si>
    <t xml:space="preserve">E-DB</t>
  </si>
  <si>
    <t xml:space="preserve">Distribution board</t>
  </si>
  <si>
    <t xml:space="preserve">Electrical plans/details</t>
  </si>
  <si>
    <t xml:space="preserve">count, ways</t>
  </si>
  <si>
    <t xml:space="preserve">WI-EL-07/08</t>
  </si>
  <si>
    <t xml:space="preserve">Label 'DB'</t>
  </si>
  <si>
    <t xml:space="preserve">E-EARTH</t>
  </si>
  <si>
    <t xml:space="preserve">Earth pit</t>
  </si>
  <si>
    <t xml:space="preserve">Detail</t>
  </si>
  <si>
    <t xml:space="preserve">E-EXH</t>
  </si>
  <si>
    <t xml:space="preserve">Exhaust fan</t>
  </si>
  <si>
    <t xml:space="preserve">E-BWALL</t>
  </si>
  <si>
    <t xml:space="preserve">Boundary wall</t>
  </si>
  <si>
    <t xml:space="preserve">length, height</t>
  </si>
  <si>
    <t xml:space="preserve">Plot perimeter minus building/shared</t>
  </si>
  <si>
    <t xml:space="preserve">E-PAVING</t>
  </si>
  <si>
    <t xml:space="preserve">Paved area (porch, drive, terrace)</t>
  </si>
  <si>
    <t xml:space="preserve">area, type</t>
  </si>
  <si>
    <t xml:space="preserve">Porch dims</t>
  </si>
  <si>
    <t xml:space="preserve">E-PLANTER</t>
  </si>
  <si>
    <t xml:space="preserve">Planter / lawn</t>
  </si>
  <si>
    <t xml:space="preserve">area</t>
  </si>
  <si>
    <t xml:space="preserve">Label 'PLANTER AREA'</t>
  </si>
  <si>
    <t xml:space="preserve">E-GATE</t>
  </si>
  <si>
    <t xml:space="preserve">Main gate</t>
  </si>
  <si>
    <t xml:space="preserve">width</t>
  </si>
  <si>
    <t xml:space="preserve">Label 'GATE'</t>
  </si>
  <si>
    <t xml:space="preserve">E-RAILING</t>
  </si>
  <si>
    <t xml:space="preserve">length</t>
  </si>
  <si>
    <t xml:space="preserve">Balcony/stair edges</t>
  </si>
  <si>
    <t xml:space="preserve">E-FACADE</t>
  </si>
  <si>
    <t xml:space="preserve">Elevation feature / cladding</t>
  </si>
  <si>
    <t xml:space="preserve">areas by material</t>
  </si>
  <si>
    <t xml:space="preserve">EXT-010, WI-PT-03</t>
  </si>
  <si>
    <t xml:space="preserve">Elevation regions</t>
  </si>
  <si>
    <t xml:space="preserve">Materials not labelled</t>
  </si>
  <si>
    <t xml:space="preserve">E-RWH</t>
  </si>
  <si>
    <t xml:space="preserve">Not in drawings</t>
  </si>
  <si>
    <t xml:space="preserve">count, depth</t>
  </si>
  <si>
    <t xml:space="preserve">Authority rule</t>
  </si>
  <si>
    <t xml:space="preserve">Rule-based</t>
  </si>
  <si>
    <t xml:space="preserve">Room Type</t>
  </si>
  <si>
    <t xml:space="preserve">Label Keywords (AI matching)</t>
  </si>
  <si>
    <t xml:space="preserve">Floor Finish</t>
  </si>
  <si>
    <t xml:space="preserve">Wall Finish</t>
  </si>
  <si>
    <t xml:space="preserve">Wall Tile Height (ft)</t>
  </si>
  <si>
    <t xml:space="preserve">Ceiling Finish</t>
  </si>
  <si>
    <t xml:space="preserve">False Ceiling % of Area</t>
  </si>
  <si>
    <t xml:space="preserve">Light Pts</t>
  </si>
  <si>
    <t xml:space="preserve">Fan Pts</t>
  </si>
  <si>
    <t xml:space="preserve">13A Sockets</t>
  </si>
  <si>
    <t xml:space="preserve">15A/Power Pts</t>
  </si>
  <si>
    <t xml:space="preserve">AC Pts</t>
  </si>
  <si>
    <t xml:space="preserve">TV Pts</t>
  </si>
  <si>
    <t xml:space="preserve">Data Pts</t>
  </si>
  <si>
    <t xml:space="preserve">Exhaust Fans</t>
  </si>
  <si>
    <t xml:space="preserve">Health Faucet</t>
  </si>
  <si>
    <t xml:space="preserve">Floor Traps</t>
  </si>
  <si>
    <t xml:space="preserve">Bedroom</t>
  </si>
  <si>
    <t xml:space="preserve">BED, BEDROOM, MASTER BED, KIDS, GUEST</t>
  </si>
  <si>
    <t xml:space="preserve">Porcelain/ceramic tile 24x24 (or wood-look)</t>
  </si>
  <si>
    <t xml:space="preserve">Tile 4in</t>
  </si>
  <si>
    <t xml:space="preserve">Putty + emulsion</t>
  </si>
  <si>
    <t xml:space="preserve">Emulsion; gypsum bulkhead optional</t>
  </si>
  <si>
    <t xml:space="preserve">Wardrobe per plan</t>
  </si>
  <si>
    <t xml:space="preserve">Drawing room</t>
  </si>
  <si>
    <t xml:space="preserve">DRAWING, SITTING, GUEST ROOM</t>
  </si>
  <si>
    <t xml:space="preserve">Marble/porcelain 24x48</t>
  </si>
  <si>
    <t xml:space="preserve">Marble/tile 4in</t>
  </si>
  <si>
    <t xml:space="preserve">Putty + emulsion / feature wall</t>
  </si>
  <si>
    <t xml:space="preserve">Gypsum false ceiling + cornice</t>
  </si>
  <si>
    <t xml:space="preserve">Chandelier point typical</t>
  </si>
  <si>
    <t xml:space="preserve">Lounge / TV lounge</t>
  </si>
  <si>
    <t xml:space="preserve">LOUNGE, TV LOUNGE, FAMILY, LIVING</t>
  </si>
  <si>
    <t xml:space="preserve">Porcelain 24x24/24x48</t>
  </si>
  <si>
    <t xml:space="preserve">Gypsum partial</t>
  </si>
  <si>
    <t xml:space="preserve">Intercom indoor unit</t>
  </si>
  <si>
    <t xml:space="preserve">KITCHEN</t>
  </si>
  <si>
    <t xml:space="preserve">Porcelain anti-skid 24x24</t>
  </si>
  <si>
    <t xml:space="preserve">Wall tile behind counter to 2 ft above counter; rest emulsion</t>
  </si>
  <si>
    <t xml:space="preserve">PVC/gypsum MR or emulsion</t>
  </si>
  <si>
    <t xml:space="preserve">Cooker &amp; fridge sockets; gas point; hood duct</t>
  </si>
  <si>
    <t xml:space="preserve">Bathroom</t>
  </si>
  <si>
    <t xml:space="preserve">BATH, TOILET, WASHROOM, WC</t>
  </si>
  <si>
    <t xml:space="preserve">Anti-skid ceramic/porcelain</t>
  </si>
  <si>
    <t xml:space="preserve">Nil (full-height wall tile)</t>
  </si>
  <si>
    <t xml:space="preserve">Wall tiles full height (7-8 ft)</t>
  </si>
  <si>
    <t xml:space="preserve">PVC/aluminium or MR gypsum</t>
  </si>
  <si>
    <t xml:space="preserve">Geyser point; waterproofing floor + 12in up walls</t>
  </si>
  <si>
    <t xml:space="preserve">LAUNDRY, WASH AREA</t>
  </si>
  <si>
    <t xml:space="preserve">Anti-skid tile</t>
  </si>
  <si>
    <t xml:space="preserve">Tile dado 4 ft</t>
  </si>
  <si>
    <t xml:space="preserve">Emulsion</t>
  </si>
  <si>
    <t xml:space="preserve">Staircase</t>
  </si>
  <si>
    <t xml:space="preserve">STAIR, STAIRCASE</t>
  </si>
  <si>
    <t xml:space="preserve">Marble/granite treads &amp; risers</t>
  </si>
  <si>
    <t xml:space="preserve">Marble skirting (stepped)</t>
  </si>
  <si>
    <t xml:space="preserve">2-way switching; step lights; railing</t>
  </si>
  <si>
    <t xml:space="preserve">Porch / car porch</t>
  </si>
  <si>
    <t xml:space="preserve">PORCH, CAR PORCH, GARAGE</t>
  </si>
  <si>
    <t xml:space="preserve">Pavers / anti-skid outdoor tile</t>
  </si>
  <si>
    <t xml:space="preserve">Exterior finish</t>
  </si>
  <si>
    <t xml:space="preserve">Exterior emulsion</t>
  </si>
  <si>
    <t xml:space="preserve">WP lights; garden tap; gate</t>
  </si>
  <si>
    <t xml:space="preserve">Terrace / balcony</t>
  </si>
  <si>
    <t xml:space="preserve">TERRACE, BALCONY</t>
  </si>
  <si>
    <t xml:space="preserve">Outdoor tile on WP membrane</t>
  </si>
  <si>
    <t xml:space="preserve">Railing; WP; floor trap</t>
  </si>
  <si>
    <t xml:space="preserve">Mumty</t>
  </si>
  <si>
    <t xml:space="preserve">MUMTY, STAIR ROOM</t>
  </si>
  <si>
    <t xml:space="preserve">Tile / cement finish</t>
  </si>
  <si>
    <t xml:space="preserve">Door to roof; OH tank nearby</t>
  </si>
  <si>
    <t xml:space="preserve">Store / utility</t>
  </si>
  <si>
    <t xml:space="preserve">STORE, UTILITY</t>
  </si>
  <si>
    <t xml:space="preserve">Tile</t>
  </si>
  <si>
    <t xml:space="preserve">Servant quarter</t>
  </si>
  <si>
    <t xml:space="preserve">SERVANT, SQ</t>
  </si>
  <si>
    <t xml:space="preserve">Often with attached bath</t>
  </si>
  <si>
    <t xml:space="preserve">PLANTER, LAWN, GARDEN</t>
  </si>
  <si>
    <t xml:space="preserve">Soil + grass</t>
  </si>
  <si>
    <t xml:space="preserve">Garden tap; drain D-1</t>
  </si>
  <si>
    <t xml:space="preserve">Complete Project</t>
  </si>
  <si>
    <t xml:space="preserve">Grey Structure (PK)</t>
  </si>
  <si>
    <t xml:space="preserve">Finishing (PK)</t>
  </si>
  <si>
    <t xml:space="preserve">No. of Materials</t>
  </si>
  <si>
    <t xml:space="preserve">Y</t>
  </si>
  <si>
    <t xml:space="preserve">P</t>
  </si>
  <si>
    <t xml:space="preserve">TOTAL</t>
  </si>
  <si>
    <t xml:space="preserve">Legend: Y = included; P = partial (only items tagged with that Scope in Material_Master col K); - = excluded. 'Grey Structure' and 'Finishing' are the two standard Pakistani contract packages.</t>
  </si>
  <si>
    <t xml:space="preserve">Stage</t>
  </si>
  <si>
    <t xml:space="preserve">Name</t>
  </si>
  <si>
    <t xml:space="preserve">Typical Activities / Procurement Triggers</t>
  </si>
  <si>
    <t xml:space="preserve">Materials in Stage</t>
  </si>
  <si>
    <t xml:space="preserve">Pre-construction / preliminaries</t>
  </si>
  <si>
    <t xml:space="preserve">Approvals, site setup, surveys, soil test</t>
  </si>
  <si>
    <t xml:space="preserve">Substructure</t>
  </si>
  <si>
    <t xml:space="preserve">Excavation, anti-termite, PCC, foundations, DPC, earthing pits, UG/septic tanks</t>
  </si>
  <si>
    <t xml:space="preserve">MEP rough-in (below slab / in-wall first fix)</t>
  </si>
  <si>
    <t xml:space="preserve">Soil/waste under floor, concealed cisterns, mixer bodies, gas pipes, sleeves</t>
  </si>
  <si>
    <t xml:space="preserve">Superstructure masonry</t>
  </si>
  <si>
    <t xml:space="preserve">Brickwork, lintels, sills, AC sleeves, window frames if built-in</t>
  </si>
  <si>
    <t xml:space="preserve">RCC frame &amp; slabs</t>
  </si>
  <si>
    <t xml:space="preserve">Columns, beams, slabs, stairs, slab conduits, fan hooks, sleeves</t>
  </si>
  <si>
    <t xml:space="preserve">Second-fix MEP in walls</t>
  </si>
  <si>
    <t xml:space="preserve">Wall chasing, conduits, PPR, AC pre-piping</t>
  </si>
  <si>
    <t xml:space="preserve">Finishes (wet trades)</t>
  </si>
  <si>
    <t xml:space="preserve">Plaster, screeds, waterproofing, tiling, marble, ceilings, paint, wiring pull</t>
  </si>
  <si>
    <t xml:space="preserve">Roof &amp; external envelope</t>
  </si>
  <si>
    <t xml:space="preserve">Roof treatment, parapets, RWP, OH tank, elevation cladding, railings</t>
  </si>
  <si>
    <t xml:space="preserve">External works &amp; services</t>
  </si>
  <si>
    <t xml:space="preserve">Sewer, manholes, boundary wall, paving, RWH, meter, gate</t>
  </si>
  <si>
    <t xml:space="preserve">Fixtures &amp; handover</t>
  </si>
  <si>
    <t xml:space="preserve">Sanitaryware, CP, switches, lights, doors hardware, cleaning, testing</t>
  </si>
  <si>
    <t xml:space="preserve">Meaning</t>
  </si>
  <si>
    <t xml:space="preserve">When Used</t>
  </si>
  <si>
    <t xml:space="preserve">Example</t>
  </si>
  <si>
    <t xml:space="preserve">Engine Notes</t>
  </si>
  <si>
    <t xml:space="preserve">Material qty = Σ over linked work items (WI qty × coefficient) × (1 + wastage)</t>
  </si>
  <si>
    <t xml:space="preserve">Default when Formula_Key blank. Coefficients in Recipes sheet (live formulas).</t>
  </si>
  <si>
    <t xml:space="preserve">CON-001 cement = Σ(WI-CN-xx cft × bags/cft) × 1.02</t>
  </si>
  <si>
    <t xml:space="preserve">Engine: join Work_Items → Recipes → Material_Master</t>
  </si>
  <si>
    <t xml:space="preserve">AREA(x)</t>
  </si>
  <si>
    <t xml:space="preserve">Area measured from drawing object x (sft)</t>
  </si>
  <si>
    <t xml:space="preserve">Rooms, roofs, paved areas, elevation panels</t>
  </si>
  <si>
    <t xml:space="preserve">AREA(room|wet) = Σ L×W of rooms where wet=TRUE</t>
  </si>
  <si>
    <t xml:space="preserve">Filter expression after '|'</t>
  </si>
  <si>
    <t xml:space="preserve">LEN(x)</t>
  </si>
  <si>
    <t xml:space="preserve">Length measured (rft)</t>
  </si>
  <si>
    <t xml:space="preserve">Walls CL, sewer, boundary, railing, skirting</t>
  </si>
  <si>
    <t xml:space="preserve">LEN(boundary) = plot perimeter − shared − front</t>
  </si>
  <si>
    <t xml:space="preserve">Use centre-line for masonry, clear length for finishes</t>
  </si>
  <si>
    <t xml:space="preserve">VOL(x)</t>
  </si>
  <si>
    <t xml:space="preserve">Volume (cft)</t>
  </si>
  <si>
    <t xml:space="preserve">Tanks, footings, concrete elements</t>
  </si>
  <si>
    <t xml:space="preserve">VOL(tank) = walls + base + cover slab</t>
  </si>
  <si>
    <t xml:space="preserve">Deductions per Measurement rule in Work_Items</t>
  </si>
  <si>
    <t xml:space="preserve">COUNT(x)</t>
  </si>
  <si>
    <t xml:space="preserve">Count of symbols/labels/schedule rows</t>
  </si>
  <si>
    <t xml:space="preserve">Doors, fixtures, electrical points</t>
  </si>
  <si>
    <t xml:space="preserve">COUNT(F.T) on plumbing plans</t>
  </si>
  <si>
    <t xml:space="preserve">AI symbol detection must be verified by user</t>
  </si>
  <si>
    <t xml:space="preserve">BBS(x)</t>
  </si>
  <si>
    <t xml:space="preserve">Bar bending schedule (kg) from bar dia, spacing, cover, laps, hooks</t>
  </si>
  <si>
    <t xml:space="preserve">Tanks, slabs, footings when detailed</t>
  </si>
  <si>
    <t xml:space="preserve">kg = Σ n × cut_len × d²/162 (d in mm, kg/m) ×3.281</t>
  </si>
  <si>
    <t xml:space="preserve">Fallback = steel ratio kg/cft (K_ST_*)</t>
  </si>
  <si>
    <t xml:space="preserve">PCT(scope,p)</t>
  </si>
  <si>
    <t xml:space="preserve">Percentage of another group</t>
  </si>
  <si>
    <t xml:space="preserve">Consumables, small fittings</t>
  </si>
  <si>
    <t xml:space="preserve">Only for low-value items</t>
  </si>
  <si>
    <t xml:space="preserve">Lump sum / provisional</t>
  </si>
  <si>
    <t xml:space="preserve">Approvals, testing, cleaning</t>
  </si>
  <si>
    <t xml:space="preserve">Not quantity-driven; carried as PC/provisional sum</t>
  </si>
  <si>
    <t xml:space="preserve">User-provided quantity</t>
  </si>
  <si>
    <t xml:space="preserve">Solar kW, CCTV cameras</t>
  </si>
  <si>
    <t xml:space="preserve">INPUT(solar_kW)</t>
  </si>
  <si>
    <t xml:space="preserve">Collected in Select-Scope step</t>
  </si>
  <si>
    <t xml:space="preserve">Coefficient × count</t>
  </si>
  <si>
    <t xml:space="preserve">Boring depth × wells</t>
  </si>
  <si>
    <t xml:space="preserve">K_RWH_DEPTH × COUNT(well)</t>
  </si>
  <si>
    <t xml:space="preserve">Measurement rules</t>
  </si>
  <si>
    <t xml:space="preserve">Deductions</t>
  </si>
  <si>
    <t xml:space="preserve">Openings &gt; 4 sft deducted from masonry &amp; plaster (PK practice / PWD); openings ≤ 4 sft not deducted; plaster reveals added; paint = plaster area; tile skirting = room perimeter − door widths</t>
  </si>
  <si>
    <t xml:space="preserve">Store as parameters so the rule can be switched (e.g., PEC/PWD vs SMM7/NRM)</t>
  </si>
  <si>
    <t xml:space="preserve">SI Unit</t>
  </si>
  <si>
    <t xml:space="preserve">Factor to SI</t>
  </si>
  <si>
    <t xml:space="preserve">Used For</t>
  </si>
  <si>
    <t xml:space="preserve">cubic foot</t>
  </si>
  <si>
    <t xml:space="preserve">Concrete, earthwork, sand, crush</t>
  </si>
  <si>
    <t xml:space="preserve">square foot</t>
  </si>
  <si>
    <t xml:space="preserve">Areas</t>
  </si>
  <si>
    <t xml:space="preserve">running foot</t>
  </si>
  <si>
    <t xml:space="preserve">Lengths</t>
  </si>
  <si>
    <t xml:space="preserve">metre</t>
  </si>
  <si>
    <t xml:space="preserve">Wires/cables</t>
  </si>
  <si>
    <t xml:space="preserve">kilogram</t>
  </si>
  <si>
    <t xml:space="preserve">Steel, putty, adhesive</t>
  </si>
  <si>
    <t xml:space="preserve">ton</t>
  </si>
  <si>
    <t xml:space="preserve">metric tonne</t>
  </si>
  <si>
    <t xml:space="preserve">Steel procurement</t>
  </si>
  <si>
    <t xml:space="preserve">cement bag 50 kg</t>
  </si>
  <si>
    <t xml:space="preserve">Cement</t>
  </si>
  <si>
    <t xml:space="preserve">Counted items</t>
  </si>
  <si>
    <t xml:space="preserve">Assemblies</t>
  </si>
  <si>
    <t xml:space="preserve">PK paint gallon ~3.64 L / Imperial gal 4.546 L (water)</t>
  </si>
  <si>
    <t xml:space="preserve">Paint (check pack); water uses 4.546</t>
  </si>
  <si>
    <t xml:space="preserve">litre</t>
  </si>
  <si>
    <t xml:space="preserve">Liquids</t>
  </si>
  <si>
    <t xml:space="preserve">coil</t>
  </si>
  <si>
    <t xml:space="preserve">wire coil ~90 m</t>
  </si>
  <si>
    <t xml:space="preserve">Wire procurement</t>
  </si>
  <si>
    <t xml:space="preserve">tractor-trolley trip ~100 cft</t>
  </si>
  <si>
    <t xml:space="preserve">Earth/debris</t>
  </si>
  <si>
    <t xml:space="preserve">marla</t>
  </si>
  <si>
    <t xml:space="preserve">marla (CDA 272.25 sft; some societies 225)</t>
  </si>
  <si>
    <t xml:space="preserve">Plot size - input</t>
  </si>
  <si>
    <t xml:space="preserve">kanal</t>
  </si>
  <si>
    <t xml:space="preserve">20 marla</t>
  </si>
  <si>
    <t xml:space="preserve">Plot size</t>
  </si>
  <si>
    <t xml:space="preserve">lump sum</t>
  </si>
  <si>
    <t xml:space="preserve">kilowatt</t>
  </si>
  <si>
    <t xml:space="preserve">Solar</t>
  </si>
  <si>
    <t xml:space="preserve">ton (AC)</t>
  </si>
  <si>
    <t xml:space="preserve">ton of refrigeration</t>
  </si>
  <si>
    <t xml:space="preserve">AC capacity</t>
  </si>
  <si>
    <t xml:space="preserve">inch</t>
  </si>
  <si>
    <t xml:space="preserve">mm</t>
  </si>
  <si>
    <t xml:space="preserve">Dimensions</t>
  </si>
  <si>
    <t xml:space="preserve">foot</t>
  </si>
  <si>
    <t xml:space="preserve">psi</t>
  </si>
  <si>
    <t xml:space="preserve">pound per sq inch</t>
  </si>
  <si>
    <t xml:space="preserve">MPa</t>
  </si>
  <si>
    <t xml:space="preserve">Concrete strength</t>
  </si>
  <si>
    <t xml:space="preserve">Required Drawing / Information</t>
  </si>
  <si>
    <t xml:space="preserve">Sheet Type</t>
  </si>
  <si>
    <t xml:space="preserve">Needed For</t>
  </si>
  <si>
    <t xml:space="preserve">Present in Sample Set?</t>
  </si>
  <si>
    <t xml:space="preserve">Fallback if Missing</t>
  </si>
  <si>
    <t xml:space="preserve">Site plan with plot dims, setbacks, road side, shared walls</t>
  </si>
  <si>
    <t xml:space="preserve">Boundary wall, paving, sewer route, RWH</t>
  </si>
  <si>
    <t xml:space="preserve">Partial (dims only)</t>
  </si>
  <si>
    <t xml:space="preserve">User input</t>
  </si>
  <si>
    <t xml:space="preserve">Area statement (covered area per floor)</t>
  </si>
  <si>
    <t xml:space="preserve">Slab area checks, benchmarks</t>
  </si>
  <si>
    <t xml:space="preserve">Yes (inconsistent)</t>
  </si>
  <si>
    <t xml:space="preserve">Compute from plans</t>
  </si>
  <si>
    <t xml:space="preserve">Furniture plans with room names &amp; sizes</t>
  </si>
  <si>
    <t xml:space="preserve">Arch plans</t>
  </si>
  <si>
    <t xml:space="preserve">Room finishes, MEP defaults</t>
  </si>
  <si>
    <t xml:space="preserve">Yes</t>
  </si>
  <si>
    <t xml:space="preserve">Working plans with all wall dimensions &amp; thickness</t>
  </si>
  <si>
    <t xml:space="preserve">Masonry, plaster, DPC</t>
  </si>
  <si>
    <t xml:space="preserve">Building sections (levels, slab/beam depths, stair)</t>
  </si>
  <si>
    <t xml:space="preserve">Sections</t>
  </si>
  <si>
    <t xml:space="preserve">Heights, stairs, parapets</t>
  </si>
  <si>
    <t xml:space="preserve">Use elevations + defaults</t>
  </si>
  <si>
    <t xml:space="preserve">Elevations with material callouts</t>
  </si>
  <si>
    <t xml:space="preserve">External finishes, cladding</t>
  </si>
  <si>
    <t xml:space="preserve">Partial (no materials)</t>
  </si>
  <si>
    <t xml:space="preserve">Tier defaults</t>
  </si>
  <si>
    <t xml:space="preserve">Door &amp; window schedule with W x H x type x glass x hardware</t>
  </si>
  <si>
    <t xml:space="preserve">Schedules</t>
  </si>
  <si>
    <t xml:space="preserve">Doors/windows/glazing</t>
  </si>
  <si>
    <t xml:space="preserve">Partial (door sizes; windows sill/height only)</t>
  </si>
  <si>
    <t xml:space="preserve">Measure widths from plan</t>
  </si>
  <si>
    <t xml:space="preserve">Finishes schedule (floor/wall/ceiling per room)</t>
  </si>
  <si>
    <t xml:space="preserve">Finishes</t>
  </si>
  <si>
    <t xml:space="preserve">Reflected ceiling plans</t>
  </si>
  <si>
    <t xml:space="preserve">False ceiling, lights</t>
  </si>
  <si>
    <t xml:space="preserve">FC % defaults</t>
  </si>
  <si>
    <t xml:space="preserve">Foundation plan + sections</t>
  </si>
  <si>
    <t xml:space="preserve">Excavation, PCC, footings</t>
  </si>
  <si>
    <t xml:space="preserve">Yes (sections)</t>
  </si>
  <si>
    <t xml:space="preserve">Structural framing: beams, slabs, lintels, bands, stair reinforcement</t>
  </si>
  <si>
    <t xml:space="preserve">Concrete &amp; steel</t>
  </si>
  <si>
    <t xml:space="preserve">Steel ratios; engineer review</t>
  </si>
  <si>
    <t xml:space="preserve">Bar bending schedules</t>
  </si>
  <si>
    <t xml:space="preserve">Accurate steel</t>
  </si>
  <si>
    <t xml:space="preserve">kg/cft ratios</t>
  </si>
  <si>
    <t xml:space="preserve">Soil investigation / SBC</t>
  </si>
  <si>
    <t xml:space="preserve">Geotech</t>
  </si>
  <si>
    <t xml:space="preserve">Foundation design</t>
  </si>
  <si>
    <t xml:space="preserve">Flag</t>
  </si>
  <si>
    <t xml:space="preserve">Plumbing plans (fixtures, FT, MH, GT, routes)</t>
  </si>
  <si>
    <t xml:space="preserve">Plumbing BOQ</t>
  </si>
  <si>
    <t xml:space="preserve">Plumbing isometrics / riser diagrams</t>
  </si>
  <si>
    <t xml:space="preserve">Pipe lengths</t>
  </si>
  <si>
    <t xml:space="preserve">Partial (riser legend)</t>
  </si>
  <si>
    <t xml:space="preserve">Per-fixture allowances</t>
  </si>
  <si>
    <t xml:space="preserve">Tanks</t>
  </si>
  <si>
    <t xml:space="preserve">Yes (with conflicts)</t>
  </si>
  <si>
    <t xml:space="preserve">Electrical layouts with legend</t>
  </si>
  <si>
    <t xml:space="preserve">Circuit schedule / SLD / load calc</t>
  </si>
  <si>
    <t xml:space="preserve">MCBs, cable sizing</t>
  </si>
  <si>
    <t xml:space="preserve">Rule-based circuits</t>
  </si>
  <si>
    <t xml:space="preserve">HVAC layout (AC positions, ducting)</t>
  </si>
  <si>
    <t xml:space="preserve">AC pre-piping</t>
  </si>
  <si>
    <t xml:space="preserve">Symbols only</t>
  </si>
  <si>
    <t xml:space="preserve">Per-AC allowances</t>
  </si>
  <si>
    <t xml:space="preserve">Roof drainage plan (slopes, khuras, RWP)</t>
  </si>
  <si>
    <t xml:space="preserve">RWP, roof treatment</t>
  </si>
  <si>
    <t xml:space="preserve">Yes (mumty slope arrows)</t>
  </si>
  <si>
    <t xml:space="preserve">Rainwater harvesting / recharge well detail</t>
  </si>
  <si>
    <t xml:space="preserve">Boundary wall &amp; gate detail</t>
  </si>
  <si>
    <t xml:space="preserve">External works</t>
  </si>
  <si>
    <t xml:space="preserve">Defaults</t>
  </si>
  <si>
    <t xml:space="preserve">Kitchen &amp; wardrobe joinery drawings</t>
  </si>
  <si>
    <t xml:space="preserve">Labels only</t>
  </si>
  <si>
    <t xml:space="preserve">Rft defaults</t>
  </si>
  <si>
    <t xml:space="preserve">Specifications / material notes</t>
  </si>
  <si>
    <t xml:space="preserve">Specs</t>
  </si>
  <si>
    <t xml:space="preserve">Grades &amp; brands</t>
  </si>
  <si>
    <t xml:space="preserve">Partial (plumbing notes)</t>
  </si>
  <si>
    <t xml:space="preserve">Floor</t>
  </si>
  <si>
    <t xml:space="preserve">Room (as labelled)</t>
  </si>
  <si>
    <t xml:space="preserve">L ft</t>
  </si>
  <si>
    <t xml:space="preserve">L in</t>
  </si>
  <si>
    <t xml:space="preserve">W ft</t>
  </si>
  <si>
    <t xml:space="preserve">W in</t>
  </si>
  <si>
    <t xml:space="preserve">Length (ft)</t>
  </si>
  <si>
    <t xml:space="preserve">Width (ft)</t>
  </si>
  <si>
    <t xml:space="preserve">Area (sft)</t>
  </si>
  <si>
    <t xml:space="preserve">Perimeter (rft)</t>
  </si>
  <si>
    <t xml:space="preserve">Source Sheet</t>
  </si>
  <si>
    <t xml:space="preserve">Confidence</t>
  </si>
  <si>
    <t xml:space="preserve">GF</t>
  </si>
  <si>
    <t xml:space="preserve">DRAWING</t>
  </si>
  <si>
    <t xml:space="preserve">sh.2-3 / 8-9</t>
  </si>
  <si>
    <t xml:space="preserve">LOUNGE</t>
  </si>
  <si>
    <t xml:space="preserve">KIDS ROOM</t>
  </si>
  <si>
    <t xml:space="preserve">BED ROOM</t>
  </si>
  <si>
    <t xml:space="preserve">BATH (1)</t>
  </si>
  <si>
    <t xml:space="preserve">BATH (2)</t>
  </si>
  <si>
    <t xml:space="preserve">LAUNDRY</t>
  </si>
  <si>
    <t xml:space="preserve">FF</t>
  </si>
  <si>
    <t xml:space="preserve">MASTER BED ROOM (1)</t>
  </si>
  <si>
    <t xml:space="preserve">TV LOUNGE</t>
  </si>
  <si>
    <t xml:space="preserve">MASTER BED ROOM (2)</t>
  </si>
  <si>
    <t xml:space="preserve">STAIRCASE</t>
  </si>
  <si>
    <t xml:space="preserve">Wet-area floor (bath+kitchen+laundry)</t>
  </si>
  <si>
    <t xml:space="preserve">Door Type</t>
  </si>
  <si>
    <t xml:space="preserve">Width ft</t>
  </si>
  <si>
    <t xml:space="preserve">Width in</t>
  </si>
  <si>
    <t xml:space="preserve">Height ft</t>
  </si>
  <si>
    <t xml:space="preserve">Chogath width (in)</t>
  </si>
  <si>
    <t xml:space="preserve">Leaf</t>
  </si>
  <si>
    <t xml:space="preserve">Qty</t>
  </si>
  <si>
    <t xml:space="preserve">Opening Area each (sft)</t>
  </si>
  <si>
    <t xml:space="preserve">Total Area (sft)</t>
  </si>
  <si>
    <t xml:space="preserve">Chogath rft each</t>
  </si>
  <si>
    <t xml:space="preserve">Chogath rft total</t>
  </si>
  <si>
    <t xml:space="preserve">Room door</t>
  </si>
  <si>
    <t xml:space="preserve">Single</t>
  </si>
  <si>
    <t xml:space="preserve">sh.20 chogath schedule</t>
  </si>
  <si>
    <t xml:space="preserve">Bath door</t>
  </si>
  <si>
    <t xml:space="preserve">Mumty door</t>
  </si>
  <si>
    <t xml:space="preserve">Double</t>
  </si>
  <si>
    <t xml:space="preserve">Main door</t>
  </si>
  <si>
    <t xml:space="preserve">Drawing door</t>
  </si>
  <si>
    <t xml:space="preserve">Column</t>
  </si>
  <si>
    <t xml:space="preserve">b (in)</t>
  </si>
  <si>
    <t xml:space="preserve">d (in)</t>
  </si>
  <si>
    <t xml:space="preserve">Footing L (ft)</t>
  </si>
  <si>
    <t xml:space="preserve">Footing B (ft)</t>
  </si>
  <si>
    <t xml:space="preserve">Ties</t>
  </si>
  <si>
    <t xml:space="preserve">Col section (sft)</t>
  </si>
  <si>
    <t xml:space="preserve">Footing plan (sft)</t>
  </si>
  <si>
    <t xml:space="preserve">C1</t>
  </si>
  <si>
    <t xml:space="preserve">#4</t>
  </si>
  <si>
    <t xml:space="preserve">#3 @6in c/c</t>
  </si>
  <si>
    <t xml:space="preserve">sh.14 (qty not shown - count from plan)</t>
  </si>
  <si>
    <t xml:space="preserve">C2</t>
  </si>
  <si>
    <t xml:space="preserve">C3</t>
  </si>
  <si>
    <t xml:space="preserve">Int L (ft)</t>
  </si>
  <si>
    <t xml:space="preserve">Int W (ft)</t>
  </si>
  <si>
    <t xml:space="preserve">Depth (ft)</t>
  </si>
  <si>
    <t xml:space="preserve">Wall t (in)</t>
  </si>
  <si>
    <t xml:space="preserve">Base t (in)</t>
  </si>
  <si>
    <t xml:space="preserve">Slab t (in)</t>
  </si>
  <si>
    <t xml:space="preserve">Capacity (gal, imp)</t>
  </si>
  <si>
    <t xml:space="preserve">Concrete walls+base+slab (cft)</t>
  </si>
  <si>
    <t xml:space="preserve">Source / Flag</t>
  </si>
  <si>
    <t xml:space="preserve">sh.16 detail (plan says 8'x4' - conflict)</t>
  </si>
  <si>
    <t xml:space="preserve">UG water tank</t>
  </si>
  <si>
    <t xml:space="preserve">sh.16 (depth assumed 5 ft - verify)</t>
  </si>
  <si>
    <t xml:space="preserve">Plot 33' x 41' = </t>
  </si>
  <si>
    <t xml:space="preserve">sft; in marla =</t>
  </si>
  <si>
    <t xml:space="preserve">Note: 6.229 = imperial gallons per cft. Blue cells are values read from the drawings; yellow = still to be counted by the AI/user. This sheet is a test fixture for the extraction module.</t>
  </si>
  <si>
    <t xml:space="preserve">Step</t>
  </si>
  <si>
    <t xml:space="preserve">Formula logic / Source</t>
  </si>
  <si>
    <t xml:space="preserve">A</t>
  </si>
  <si>
    <t xml:space="preserve">DEMO 1 - 9in brick masonry, GF external wall (sample drawing)</t>
  </si>
  <si>
    <t xml:space="preserve">A1</t>
  </si>
  <si>
    <t xml:space="preserve">Building outer size - width (GF working plan)</t>
  </si>
  <si>
    <t xml:space="preserve">Input from drawing (32'-3")</t>
  </si>
  <si>
    <t xml:space="preserve">A2</t>
  </si>
  <si>
    <t xml:space="preserve">Building outer size - depth</t>
  </si>
  <si>
    <t xml:space="preserve">Input from drawing (39')</t>
  </si>
  <si>
    <t xml:space="preserve">A3</t>
  </si>
  <si>
    <t xml:space="preserve">Centre-line length of 9in external wall</t>
  </si>
  <si>
    <t xml:space="preserve">2(W+D) - 4 x wall thickness</t>
  </si>
  <si>
    <t xml:space="preserve">A4</t>
  </si>
  <si>
    <t xml:space="preserve">Wall height (floor-to-floor minus slab)</t>
  </si>
  <si>
    <t xml:space="preserve">H_FLOOR - T_SLAB</t>
  </si>
  <si>
    <t xml:space="preserve">A5</t>
  </si>
  <si>
    <t xml:space="preserve">Openings to deduct (external windows/doors &gt;4 sft)</t>
  </si>
  <si>
    <t xml:space="preserve">INPUT - from D&amp;W schedule (assumed here)</t>
  </si>
  <si>
    <t xml:space="preserve">A6</t>
  </si>
  <si>
    <t xml:space="preserve">Net masonry volume</t>
  </si>
  <si>
    <t xml:space="preserve">(L x H - openings) x t</t>
  </si>
  <si>
    <t xml:space="preserve">A7</t>
  </si>
  <si>
    <t xml:space="preserve">Bricks required incl. wastage</t>
  </si>
  <si>
    <t xml:space="preserve">vol x bricks/cft x (1+W_BRICK)</t>
  </si>
  <si>
    <t xml:space="preserve">A8</t>
  </si>
  <si>
    <t xml:space="preserve">Cement bags (mortar 1:6)</t>
  </si>
  <si>
    <t xml:space="preserve">bags</t>
  </si>
  <si>
    <t xml:space="preserve">vol x wet mortar/cft x bags/cft(1:6)</t>
  </si>
  <si>
    <t xml:space="preserve">A9</t>
  </si>
  <si>
    <t xml:space="preserve">Sand (mortar 1:6)</t>
  </si>
  <si>
    <t xml:space="preserve">B</t>
  </si>
  <si>
    <t xml:space="preserve">DEMO 2 - First-floor roof slab (RCC 1:2:4)</t>
  </si>
  <si>
    <t xml:space="preserve">B1</t>
  </si>
  <si>
    <t xml:space="preserve">Slab area (outer dims, no voids)</t>
  </si>
  <si>
    <t xml:space="preserve">Use SLAB_AREA minus SLAB_VOID in engine</t>
  </si>
  <si>
    <t xml:space="preserve">B2</t>
  </si>
  <si>
    <t xml:space="preserve">Slab volume</t>
  </si>
  <si>
    <t xml:space="preserve">area x T_SLAB</t>
  </si>
  <si>
    <t xml:space="preserve">B3</t>
  </si>
  <si>
    <t xml:space="preserve">vol x bags/cft (Mix_Design)</t>
  </si>
  <si>
    <t xml:space="preserve">B4</t>
  </si>
  <si>
    <t xml:space="preserve">B5</t>
  </si>
  <si>
    <t xml:space="preserve">Crush 3/4in</t>
  </si>
  <si>
    <t xml:space="preserve">B6</t>
  </si>
  <si>
    <t xml:space="preserve">Steel (ratio method, no BBS)</t>
  </si>
  <si>
    <t xml:space="preserve">vol x kg/cft (85 kg/m3) - replace with BBS when available</t>
  </si>
  <si>
    <t xml:space="preserve">C</t>
  </si>
  <si>
    <t xml:space="preserve">DEMO 3 - Floor tiles from sample room list</t>
  </si>
  <si>
    <t xml:space="preserve">Sum of room areas (Sample_Project_Extract)</t>
  </si>
  <si>
    <t xml:space="preserve">Linked</t>
  </si>
  <si>
    <t xml:space="preserve">Floor tile quantity incl. wastage</t>
  </si>
  <si>
    <t xml:space="preserve">area x (1+W_TILE_FLR)</t>
  </si>
  <si>
    <t xml:space="preserve">Wet-area waterproofing (floors)</t>
  </si>
  <si>
    <t xml:space="preserve">Bath+kitchen+laundry; add 12in upturn x perimeter in engine</t>
  </si>
  <si>
    <t xml:space="preserve">D</t>
  </si>
  <si>
    <t xml:space="preserve">DEMO 4 - Unit checks</t>
  </si>
  <si>
    <t xml:space="preserve">D1</t>
  </si>
  <si>
    <t xml:space="preserve">Bricks per cft (computed from brick size)</t>
  </si>
  <si>
    <t xml:space="preserve">PK convention ~13.5 incl. allowance</t>
  </si>
  <si>
    <t xml:space="preserve">D2</t>
  </si>
  <si>
    <t xml:space="preserve">Cement bags per cft RCC 1:2:4</t>
  </si>
  <si>
    <t xml:space="preserve">bags/cft</t>
  </si>
  <si>
    <t xml:space="preserve">~0.18 expected</t>
  </si>
  <si>
    <t xml:space="preserve">D3</t>
  </si>
  <si>
    <t xml:space="preserve">Cement bags per cft PCC 1:4:8</t>
  </si>
  <si>
    <t xml:space="preserve">~0.095 expected</t>
  </si>
  <si>
    <t xml:space="preserve">D4</t>
  </si>
  <si>
    <t xml:space="preserve">Cement bags per m3 RCC 1:2:4</t>
  </si>
  <si>
    <t xml:space="preserve">bags/m3</t>
  </si>
  <si>
    <t xml:space="preserve">~6.2-6.4 expected</t>
  </si>
  <si>
    <t xml:space="preserve">Check</t>
  </si>
  <si>
    <t xml:space="preserve">Typical Range</t>
  </si>
  <si>
    <t xml:space="preserve">Use in App</t>
  </si>
  <si>
    <t xml:space="preserve">Cement (bags) per sft covered area - grey + finishing</t>
  </si>
  <si>
    <t xml:space="preserve">0.30 - 0.55</t>
  </si>
  <si>
    <t xml:space="preserve">bags/sft</t>
  </si>
  <si>
    <t xml:space="preserve">PK practice (5-10 marla, all floors incl. mumty)</t>
  </si>
  <si>
    <t xml:space="preserve">Sanity check on total cement; used by app Benchmarks sheet</t>
  </si>
  <si>
    <t xml:space="preserve">Steel per sft covered area - load-bearing + RCC slabs</t>
  </si>
  <si>
    <t xml:space="preserve">1.5 - 2.5</t>
  </si>
  <si>
    <t xml:space="preserve">PK practice</t>
  </si>
  <si>
    <t xml:space="preserve">Ratio method; replace with BBS</t>
  </si>
  <si>
    <t xml:space="preserve">Steel per sft covered area - RCC frame</t>
  </si>
  <si>
    <t xml:space="preserve">2.5 - 3.5</t>
  </si>
  <si>
    <t xml:space="preserve">Check vs BBS</t>
  </si>
  <si>
    <t xml:space="preserve">Bricks per sft covered area (9in load-bearing)</t>
  </si>
  <si>
    <t xml:space="preserve">20 - 35</t>
  </si>
  <si>
    <t xml:space="preserve">Check masonry takeoff</t>
  </si>
  <si>
    <t xml:space="preserve">Sand per sft covered area</t>
  </si>
  <si>
    <t xml:space="preserve">1.2 - 2.2</t>
  </si>
  <si>
    <t xml:space="preserve">Crush per sft covered area</t>
  </si>
  <si>
    <t xml:space="preserve">0.7 - 1.4</t>
  </si>
  <si>
    <t xml:space="preserve">Electrical points per 5 marla (2 floors)</t>
  </si>
  <si>
    <t xml:space="preserve">90 - 160</t>
  </si>
  <si>
    <t xml:space="preserve">From plan symbol count</t>
  </si>
  <si>
    <t xml:space="preserve">Bathrooms per 5 marla double storey</t>
  </si>
  <si>
    <t xml:space="preserve">3 - 5</t>
  </si>
  <si>
    <t xml:space="preserve">Sample: 4</t>
  </si>
  <si>
    <t xml:space="preserve">Paint area ~ 3.2 - 3.8 x covered area</t>
  </si>
  <si>
    <t xml:space="preserve">3.2 - 3.8</t>
  </si>
  <si>
    <t xml:space="preserve">Rule of thumb</t>
  </si>
  <si>
    <t xml:space="preserve">Walls+ceilings</t>
  </si>
  <si>
    <t xml:space="preserve">Tile area ~ 1.0 - 1.3 x covered area</t>
  </si>
  <si>
    <t xml:space="preserve">1.0 - 1.3</t>
  </si>
  <si>
    <t xml:space="preserve">Floors + wall tiles</t>
  </si>
  <si>
    <t xml:space="preserve">Grey structure cost range (Islamabad, 2026)</t>
  </si>
  <si>
    <t xml:space="preserve">see Rate_Template notes</t>
  </si>
  <si>
    <t xml:space="preserve">PKR/sft</t>
  </si>
  <si>
    <t xml:space="preserve">Indicative only - varies widely</t>
  </si>
  <si>
    <t xml:space="preserve">Never used for quantities</t>
  </si>
  <si>
    <t xml:space="preserve">Benchmarks are indicative rules of thumb for flagging outliers only (warn if outside range) - calibrate against your own completed projects. They are never used to generate quantities.</t>
  </si>
  <si>
    <t xml:space="preserve">Gap_ID</t>
  </si>
  <si>
    <t xml:space="preserve">Type</t>
  </si>
  <si>
    <t xml:space="preserve">Finding</t>
  </si>
  <si>
    <t xml:space="preserve">Impact</t>
  </si>
  <si>
    <t xml:space="preserve">Recommendation / App Handling</t>
  </si>
  <si>
    <t xml:space="preserve">Severity</t>
  </si>
  <si>
    <t xml:space="preserve">G-01</t>
  </si>
  <si>
    <t xml:space="preserve">Drawing conflict</t>
  </si>
  <si>
    <t xml:space="preserve">Area statement: one floor listed as 1512 sft while plot is 1353 sft; total 3087 sft. Built-up areas must be recomputed from working plans.</t>
  </si>
  <si>
    <t xml:space="preserve">Slab/finish quantities and benchmarks</t>
  </si>
  <si>
    <t xml:space="preserve">Recompute from plans; ask architect to correct area statement</t>
  </si>
  <si>
    <t xml:space="preserve">G-02</t>
  </si>
  <si>
    <t xml:space="preserve">Septic tank shown 8'x4' on GF plumbing plan but detail is 6'-6"x5'-0".</t>
  </si>
  <si>
    <t xml:space="preserve">Tank concrete/steel</t>
  </si>
  <si>
    <t xml:space="preserve">Use detail; confirm with designer</t>
  </si>
  <si>
    <t xml:space="preserve">G-03</t>
  </si>
  <si>
    <t xml:space="preserve">Mumty plumbing shows 600 gal FG tank with GRP cover; tank sheet has RCC OHWT detail.</t>
  </si>
  <si>
    <t xml:space="preserve">OH tank scope (RCC vs FG)</t>
  </si>
  <si>
    <t xml:space="preserve">Confirm type; app should allow either</t>
  </si>
  <si>
    <t xml:space="preserve">G-04</t>
  </si>
  <si>
    <t xml:space="preserve">Missing structural</t>
  </si>
  <si>
    <t xml:space="preserve">No beam/slab/stair/lintel reinforcement drawings and no BBS; only footings &amp; 3 column types.</t>
  </si>
  <si>
    <t xml:space="preserve">Steel &amp; concrete accuracy ±20-30%</t>
  </si>
  <si>
    <t xml:space="preserve">Use kg/cft ratios with engineer sign-off; request structural set</t>
  </si>
  <si>
    <t xml:space="preserve">G-05</t>
  </si>
  <si>
    <t xml:space="preserve">Islamabad/Rawalpindi is BCP zone 2B; load-bearing masonry needs RC lintel/roof bands &amp; vertical bars at corners - not shown.</t>
  </si>
  <si>
    <t xml:space="preserve">Safety + missed concrete/steel</t>
  </si>
  <si>
    <t xml:space="preserve">Include WI band items by default; engineer to confirm</t>
  </si>
  <si>
    <t xml:space="preserve">G-06</t>
  </si>
  <si>
    <t xml:space="preserve">Missing schedule</t>
  </si>
  <si>
    <t xml:space="preserve">Window schedule gives sill &amp; height only - no widths, frame material, glass type/thickness.</t>
  </si>
  <si>
    <t xml:space="preserve">Glazing, aluminium, grills</t>
  </si>
  <si>
    <t xml:space="preserve">Measure widths from plans; tier defaults (Al 1.2 mm, 5 mm glass)</t>
  </si>
  <si>
    <t xml:space="preserve">G-07</t>
  </si>
  <si>
    <t xml:space="preserve">No finishes schedule or reflected ceiling plan.</t>
  </si>
  <si>
    <t xml:space="preserve">All finishes &amp; false ceiling</t>
  </si>
  <si>
    <t xml:space="preserve">Room_Finish_Defaults by tier</t>
  </si>
  <si>
    <t xml:space="preserve">G-08</t>
  </si>
  <si>
    <t xml:space="preserve">Missing scope</t>
  </si>
  <si>
    <t xml:space="preserve">No rainwater harvesting / recharge well though CDA mandates it (2025-26).</t>
  </si>
  <si>
    <t xml:space="preserve">Approval risk</t>
  </si>
  <si>
    <t xml:space="preserve">Add WI-EX-02; confirm by-law</t>
  </si>
  <si>
    <t xml:space="preserve">G-09</t>
  </si>
  <si>
    <t xml:space="preserve">Missing spec</t>
  </si>
  <si>
    <t xml:space="preserve">No wet-area (bath, kitchen, terrace) waterproofing specification.</t>
  </si>
  <si>
    <t xml:space="preserve">Leakage risk; missed materials</t>
  </si>
  <si>
    <t xml:space="preserve">Add cementitious/PU membrane items</t>
  </si>
  <si>
    <t xml:space="preserve">G-10</t>
  </si>
  <si>
    <t xml:space="preserve">Missing data</t>
  </si>
  <si>
    <t xml:space="preserve">No soil report / safe bearing capacity; foundation depths 2'-6"/3'-6" assumed.</t>
  </si>
  <si>
    <t xml:space="preserve">Soil test recommended</t>
  </si>
  <si>
    <t xml:space="preserve">G-11</t>
  </si>
  <si>
    <t xml:space="preserve">No anti-termite treatment specified.</t>
  </si>
  <si>
    <t xml:space="preserve">Durability</t>
  </si>
  <si>
    <t xml:space="preserve">Include EW-004</t>
  </si>
  <si>
    <t xml:space="preserve">G-12</t>
  </si>
  <si>
    <t xml:space="preserve">Missing electrical</t>
  </si>
  <si>
    <t xml:space="preserve">No load schedule, circuit grouping, SLD or cable sizing; no RCCB/SPD.</t>
  </si>
  <si>
    <t xml:space="preserve">MCB counts, safety</t>
  </si>
  <si>
    <t xml:space="preserve">Rule-based circuits; RCCB recommended</t>
  </si>
  <si>
    <t xml:space="preserve">G-13</t>
  </si>
  <si>
    <t xml:space="preserve">Missing HVAC</t>
  </si>
  <si>
    <t xml:space="preserve">AC symbols in legend but no AC layout/ tonnage; no pre-piping.</t>
  </si>
  <si>
    <t xml:space="preserve">Late chasing, cost</t>
  </si>
  <si>
    <t xml:space="preserve">Per-AC allowances; pre-pipe during S5</t>
  </si>
  <si>
    <t xml:space="preserve">G-14</t>
  </si>
  <si>
    <t xml:space="preserve">No solar PV provisions (conduit, roof anchors, inverter space).</t>
  </si>
  <si>
    <t xml:space="preserve">Retrofit damage</t>
  </si>
  <si>
    <t xml:space="preserve">SOL-001 provision</t>
  </si>
  <si>
    <t xml:space="preserve">G-15</t>
  </si>
  <si>
    <t xml:space="preserve">SNGPL new domestic connections restricted; drawing assumes gas pipes.</t>
  </si>
  <si>
    <t xml:space="preserve">Gas vs LPG vs electric</t>
  </si>
  <si>
    <t xml:space="preserve">GAS_SOURCE input</t>
  </si>
  <si>
    <t xml:space="preserve">G-16</t>
  </si>
  <si>
    <t xml:space="preserve">Missing details</t>
  </si>
  <si>
    <t xml:space="preserve">Roof treatment (insulation, WP, brick tiles), boundary wall &amp; gate details not given.</t>
  </si>
  <si>
    <t xml:space="preserve">Roof &amp; external quantities</t>
  </si>
  <si>
    <t xml:space="preserve">Defaults with tier</t>
  </si>
  <si>
    <t xml:space="preserve">G-17</t>
  </si>
  <si>
    <t xml:space="preserve">Commonly missed</t>
  </si>
  <si>
    <t xml:space="preserve">Chicken mesh at RCC/brick junctions, pipe sleeves &amp; fan hooks before slab casting, AC sleeves in masonry.</t>
  </si>
  <si>
    <t xml:space="preserve">Cracks, rework</t>
  </si>
  <si>
    <t xml:space="preserve">Items included; stage flags S2/S4</t>
  </si>
  <si>
    <t xml:space="preserve">G-18</t>
  </si>
  <si>
    <t xml:space="preserve">Plinth protection apron, kerbs, debris removal, construction water, curing, testing.</t>
  </si>
  <si>
    <t xml:space="preserve">Budget overrun</t>
  </si>
  <si>
    <t xml:space="preserve">Items included</t>
  </si>
  <si>
    <t xml:space="preserve">G-19</t>
  </si>
  <si>
    <t xml:space="preserve">Units</t>
  </si>
  <si>
    <t xml:space="preserve">Marla definition varies (272.25 vs 225 sft); '5 marla' label vs 33x41=1353 sft.</t>
  </si>
  <si>
    <t xml:space="preserve">Benchmarks</t>
  </si>
  <si>
    <t xml:space="preserve">MARLA_SFT input</t>
  </si>
  <si>
    <t xml:space="preserve">G-20</t>
  </si>
  <si>
    <t xml:space="preserve">Missing sections</t>
  </si>
  <si>
    <t xml:space="preserve">No building section - stair riser/tread, slab/beam depths, parapet height partly inferred from elevations.</t>
  </si>
  <si>
    <t xml:space="preserve">Stair &amp; heights</t>
  </si>
  <si>
    <t xml:space="preserve">Defaults + confirmation</t>
  </si>
  <si>
    <t xml:space="preserve">G-21</t>
  </si>
  <si>
    <t xml:space="preserve">Concrete grade</t>
  </si>
  <si>
    <t xml:space="preserve">Nominal 1:2:4 specified; for seismic zone and slabs 1:1.5:3 (≈3000 psi) or RMC is commonly recommended.</t>
  </si>
  <si>
    <t xml:space="preserve">Strength</t>
  </si>
  <si>
    <t xml:space="preserve">CONC_MODE / mix selection</t>
  </si>
  <si>
    <t xml:space="preserve">G-22</t>
  </si>
  <si>
    <t xml:space="preserve">Tank internal waterproofing &amp; UG tank tanking not detailed beyond chips/Puddlo.</t>
  </si>
  <si>
    <t xml:space="preserve">Leaks</t>
  </si>
  <si>
    <t xml:space="preserve">WP admixture items</t>
  </si>
  <si>
    <t xml:space="preserve">Rate PKR / Unit</t>
  </si>
  <si>
    <t xml:space="preserve">Rate Date</t>
  </si>
  <si>
    <t xml:space="preserve">Supplier / Source</t>
  </si>
  <si>
    <t xml:space="preserve">City</t>
  </si>
  <si>
    <t xml:space="preserve">Indicative Range (reference only)</t>
  </si>
  <si>
    <t xml:space="preserve">Range Source</t>
  </si>
  <si>
    <t xml:space="preserve">Islamabad</t>
  </si>
  <si>
    <t xml:space="preserve">Sep-2026</t>
  </si>
  <si>
    <t xml:space="preserve">EXAMPLE ROW - replace with quote</t>
  </si>
  <si>
    <t xml:space="preserve">~1,500 per 50 kg bag</t>
  </si>
  <si>
    <t xml:space="preserve">App material_rates.json (Sep 2026)</t>
  </si>
  <si>
    <t xml:space="preserve">~55-70 per cft</t>
  </si>
  <si>
    <t xml:space="preserve">App material_rates.json</t>
  </si>
  <si>
    <t xml:space="preserve">~110-150 per cft</t>
  </si>
  <si>
    <t xml:space="preserve">~280-300 per kg</t>
  </si>
  <si>
    <t xml:space="preserve">~14-17 per brick</t>
  </si>
  <si>
    <t xml:space="preserve">Drawing set 'Drawings_Set.pdf' - IBN-E-ASGHAR &amp; Associates, 5 Marla, Mr. Sameer Shah, 17-11-2025 (31 sheets)</t>
  </si>
  <si>
    <t xml:space="preserve">Primary project source</t>
  </si>
  <si>
    <t xml:space="preserve">Specs for PCC/RCC mixes, DPC, uPVC ISO 3633, PPR PN20/25, sewer EN 1401, tests, earthing, symbols</t>
  </si>
  <si>
    <t xml:space="preserve">Existing app 'CostLens' v0.4.0 (engineering/rules.py, data/material_rates.json, default_assumptions.json)</t>
  </si>
  <si>
    <t xml:space="preserve">Existing logic</t>
  </si>
  <si>
    <t xml:space="preserve">Dry factor 1.54, steel ratios, rate indications</t>
  </si>
  <si>
    <t xml:space="preserve">Building Code of Pakistan - Seismic Provisions 2007 / BCP 2021</t>
  </si>
  <si>
    <t xml:space="preserve">Code</t>
  </si>
  <si>
    <t xml:space="preserve">Islamabad-Rawalpindi zone 2B; bands in masonry</t>
  </si>
  <si>
    <t xml:space="preserve">civilsir.com / civilengineerspk.com - brick &amp; mortar per 100 cft</t>
  </si>
  <si>
    <t xml:space="preserve">1350 bricks/100 cft convention</t>
  </si>
  <si>
    <t xml:space="preserve">CDA rainwater harvesting / recharge well requirement (reported by primarcstudio.com, 2025-26)</t>
  </si>
  <si>
    <t xml:space="preserve">Regulatory</t>
  </si>
  <si>
    <t xml:space="preserve">Recharge wells - confirm current by-law</t>
  </si>
  <si>
    <t xml:space="preserve">ASTM A615 Grade 60 (PK mills: Amreli, Mughal, etc.)</t>
  </si>
  <si>
    <t xml:space="preserve">PS/IEC 60227 house wiring; PK conductor designations 3/29, 7/29, 7/36, 7/44</t>
  </si>
  <si>
    <t xml:space="preserve">Standard/market</t>
  </si>
  <si>
    <t xml:space="preserve">Wire sizing</t>
  </si>
  <si>
    <t xml:space="preserve">BS 1363 / IEC 60898 / IEC 61008</t>
  </si>
  <si>
    <t xml:space="preserve">Standards</t>
  </si>
  <si>
    <t xml:space="preserve">Sockets, MCBs, RCCBs</t>
  </si>
  <si>
    <t xml:space="preserve">ISO 3633:2002, EN 1401, DIN 8077/8078 (PPR)</t>
  </si>
  <si>
    <t xml:space="preserve">Drainage &amp; water supply (as cited in drawings)</t>
  </si>
  <si>
    <t xml:space="preserve">ASTM C150 / PS 232 (OPC), ASTM C33 aggregates</t>
  </si>
  <si>
    <t xml:space="preserve">Concrete materials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</si>
</sst>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%"/>
    <numFmt numFmtId="166" formatCode="0.0000"/>
    <numFmt numFmtId="167" formatCode="0.00"/>
    <numFmt numFmtId="168" formatCode="0.000"/>
    <numFmt numFmtId="169" formatCode="0%"/>
    <numFmt numFmtId="170" formatCode="0.000000"/>
    <numFmt numFmtId="171" formatCode="0.0"/>
    <numFmt numFmtId="172" formatCode="#,##0"/>
    <numFmt numFmtId="173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8000"/>
      <name val="Arial"/>
      <family val="0"/>
      <charset val="1"/>
    </font>
    <font>
      <sz val="9"/>
      <color rgb="FF0000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C6EFCE"/>
        <bgColor rgb="FFD9E1F2"/>
      </patternFill>
    </fill>
    <fill>
      <patternFill patternType="solid">
        <fgColor rgb="FFFFEB9C"/>
        <bgColor rgb="FFFFFFCC"/>
      </patternFill>
    </fill>
    <fill>
      <patternFill patternType="solid">
        <fgColor rgb="FFD9E1F2"/>
        <bgColor rgb="FFC6EFCE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22.35" hidden="false" customHeight="false" outlineLevel="0" collapsed="false">
      <c r="A2" s="2" t="s">
        <v>1</v>
      </c>
      <c r="B2" s="3" t="s">
        <v>2</v>
      </c>
    </row>
    <row r="3" customFormat="false" ht="22.35" hidden="false" customHeight="false" outlineLevel="0" collapsed="false">
      <c r="A3" s="2" t="s">
        <v>3</v>
      </c>
      <c r="B3" s="3" t="s">
        <v>4</v>
      </c>
    </row>
    <row r="4" customFormat="false" ht="22.35" hidden="false" customHeight="false" outlineLevel="0" collapsed="false">
      <c r="A4" s="2" t="s">
        <v>5</v>
      </c>
      <c r="B4" s="3" t="s">
        <v>6</v>
      </c>
    </row>
    <row r="5" customFormat="false" ht="22.35" hidden="false" customHeight="false" outlineLevel="0" collapsed="false">
      <c r="A5" s="2" t="s">
        <v>7</v>
      </c>
      <c r="B5" s="3" t="s">
        <v>8</v>
      </c>
    </row>
    <row r="6" customFormat="false" ht="22.35" hidden="false" customHeight="false" outlineLevel="0" collapsed="false">
      <c r="A6" s="2" t="s">
        <v>9</v>
      </c>
      <c r="B6" s="3" t="s">
        <v>10</v>
      </c>
    </row>
    <row r="7" customFormat="false" ht="15" hidden="false" customHeight="false" outlineLevel="0" collapsed="false">
      <c r="A7" s="2" t="s">
        <v>11</v>
      </c>
      <c r="B7" s="3" t="s">
        <v>12</v>
      </c>
    </row>
    <row r="8" customFormat="false" ht="15" hidden="false" customHeight="false" outlineLevel="0" collapsed="false">
      <c r="A8" s="2" t="s">
        <v>13</v>
      </c>
      <c r="B8" s="3" t="s">
        <v>14</v>
      </c>
    </row>
    <row r="9" customFormat="false" ht="15" hidden="false" customHeight="false" outlineLevel="0" collapsed="false">
      <c r="A9" s="2" t="s">
        <v>15</v>
      </c>
      <c r="B9" s="3" t="s">
        <v>16</v>
      </c>
    </row>
    <row r="10" customFormat="false" ht="15" hidden="false" customHeight="false" outlineLevel="0" collapsed="false">
      <c r="A10" s="2" t="s">
        <v>17</v>
      </c>
      <c r="B10" s="3" t="s">
        <v>18</v>
      </c>
    </row>
    <row r="11" customFormat="false" ht="15" hidden="false" customHeight="false" outlineLevel="0" collapsed="false">
      <c r="A11" s="2" t="s">
        <v>19</v>
      </c>
      <c r="B11" s="3" t="s">
        <v>20</v>
      </c>
    </row>
    <row r="12" customFormat="false" ht="15" hidden="false" customHeight="false" outlineLevel="0" collapsed="false">
      <c r="A12" s="2" t="s">
        <v>21</v>
      </c>
      <c r="B12" s="3" t="s">
        <v>22</v>
      </c>
    </row>
    <row r="13" customFormat="false" ht="15" hidden="false" customHeight="false" outlineLevel="0" collapsed="false">
      <c r="A13" s="2" t="s">
        <v>23</v>
      </c>
      <c r="B13" s="3" t="s">
        <v>24</v>
      </c>
    </row>
    <row r="14" customFormat="false" ht="15" hidden="false" customHeight="false" outlineLevel="0" collapsed="false">
      <c r="A14" s="2" t="s">
        <v>25</v>
      </c>
      <c r="B14" s="3" t="s">
        <v>26</v>
      </c>
    </row>
    <row r="15" customFormat="false" ht="15" hidden="false" customHeight="false" outlineLevel="0" collapsed="false">
      <c r="A15" s="2" t="s">
        <v>27</v>
      </c>
      <c r="B15" s="3" t="s">
        <v>28</v>
      </c>
    </row>
    <row r="16" customFormat="false" ht="15" hidden="false" customHeight="false" outlineLevel="0" collapsed="false">
      <c r="A16" s="2" t="s">
        <v>29</v>
      </c>
      <c r="B16" s="3" t="s">
        <v>30</v>
      </c>
    </row>
    <row r="17" customFormat="false" ht="15" hidden="false" customHeight="false" outlineLevel="0" collapsed="false">
      <c r="A17" s="2" t="s">
        <v>31</v>
      </c>
      <c r="B17" s="3" t="s">
        <v>32</v>
      </c>
    </row>
    <row r="18" customFormat="false" ht="15" hidden="false" customHeight="false" outlineLevel="0" collapsed="false">
      <c r="A18" s="2" t="s">
        <v>33</v>
      </c>
      <c r="B18" s="3" t="s">
        <v>34</v>
      </c>
    </row>
    <row r="19" customFormat="false" ht="15" hidden="false" customHeight="false" outlineLevel="0" collapsed="false">
      <c r="A19" s="2" t="s">
        <v>35</v>
      </c>
      <c r="B19" s="3" t="s">
        <v>36</v>
      </c>
    </row>
    <row r="20" customFormat="false" ht="15" hidden="false" customHeight="false" outlineLevel="0" collapsed="false">
      <c r="A20" s="2" t="s">
        <v>37</v>
      </c>
      <c r="B20" s="3" t="s">
        <v>38</v>
      </c>
    </row>
    <row r="21" customFormat="false" ht="15" hidden="false" customHeight="false" outlineLevel="0" collapsed="false">
      <c r="A21" s="2" t="s">
        <v>39</v>
      </c>
      <c r="B21" s="3" t="s">
        <v>40</v>
      </c>
    </row>
    <row r="22" customFormat="false" ht="15" hidden="false" customHeight="false" outlineLevel="0" collapsed="false">
      <c r="A22" s="2" t="s">
        <v>41</v>
      </c>
      <c r="B22" s="3" t="s">
        <v>42</v>
      </c>
    </row>
    <row r="23" customFormat="false" ht="15" hidden="false" customHeight="false" outlineLevel="0" collapsed="false">
      <c r="A23" s="2" t="s">
        <v>43</v>
      </c>
      <c r="B23" s="3" t="s">
        <v>44</v>
      </c>
    </row>
    <row r="24" customFormat="false" ht="22.35" hidden="false" customHeight="false" outlineLevel="0" collapsed="false">
      <c r="A24" s="2" t="s">
        <v>45</v>
      </c>
      <c r="B24" s="3" t="s">
        <v>46</v>
      </c>
    </row>
    <row r="25" customFormat="false" ht="15" hidden="false" customHeight="false" outlineLevel="0" collapsed="false">
      <c r="A25" s="2" t="s">
        <v>47</v>
      </c>
      <c r="B25" s="3" t="str">
        <f aca="false">"Materials: "&amp;(COUNTA(Material_Master!A:A)-1)&amp;" | Work items: "&amp;(COUNTA(Work_Items!A:A)-1)&amp;" | Recipe lines: "&amp;(COUNTA(Recipes!A:A)-1)&amp;" | Coefficients: "&amp;(COUNTA(Coefficients!A:A)-1)</f>
        <v>Materials: 309 | Work items: 101 | Recipe lines: 308 | Coefficients: 238</v>
      </c>
    </row>
    <row r="26" customFormat="false" ht="22.35" hidden="false" customHeight="false" outlineLevel="0" collapsed="false">
      <c r="A26" s="2" t="s">
        <v>48</v>
      </c>
      <c r="B26" s="3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38"/>
    <col collapsed="false" customWidth="true" hidden="false" outlineLevel="0" max="5" min="5" style="0" width="26"/>
    <col collapsed="false" customWidth="true" hidden="false" outlineLevel="0" max="6" min="6" style="0" width="7"/>
    <col collapsed="false" customWidth="true" hidden="false" outlineLevel="0" max="7" min="7" style="0" width="30"/>
    <col collapsed="false" customWidth="true" hidden="false" outlineLevel="0" max="8" min="8" style="0" width="46"/>
    <col collapsed="false" customWidth="true" hidden="false" outlineLevel="0" max="9" min="9" style="0" width="28"/>
    <col collapsed="false" customWidth="true" hidden="false" outlineLevel="0" max="10" min="10" style="0" width="40"/>
    <col collapsed="false" customWidth="true" hidden="false" outlineLevel="0" max="11" min="11" style="0" width="11"/>
    <col collapsed="false" customWidth="true" hidden="false" outlineLevel="0" max="12" min="12" style="0" width="16"/>
    <col collapsed="false" customWidth="true" hidden="false" outlineLevel="0" max="13" min="13" style="0" width="8"/>
    <col collapsed="false" customWidth="true" hidden="false" outlineLevel="0" max="14" min="14" style="0" width="16"/>
    <col collapsed="false" customWidth="true" hidden="false" outlineLevel="0" max="15" min="15" style="0" width="2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false" outlineLevel="0" max="18" min="18" style="0" width="9"/>
    <col collapsed="false" customWidth="true" hidden="false" outlineLevel="0" max="20" min="19" style="0" width="11"/>
    <col collapsed="false" customWidth="true" hidden="false" outlineLevel="0" max="22" min="21" style="0" width="16"/>
  </cols>
  <sheetData>
    <row r="1" customFormat="false" ht="31.5" hidden="false" customHeight="true" outlineLevel="0" collapsed="false">
      <c r="A1" s="4" t="s">
        <v>50</v>
      </c>
      <c r="B1" s="5" t="s">
        <v>51</v>
      </c>
      <c r="C1" s="5" t="s">
        <v>52</v>
      </c>
      <c r="D1" s="5" t="s">
        <v>53</v>
      </c>
      <c r="E1" s="5" t="s">
        <v>54</v>
      </c>
      <c r="F1" s="5" t="s">
        <v>55</v>
      </c>
      <c r="G1" s="5" t="s">
        <v>56</v>
      </c>
      <c r="H1" s="5" t="s">
        <v>57</v>
      </c>
      <c r="I1" s="5" t="s">
        <v>58</v>
      </c>
      <c r="J1" s="5" t="s">
        <v>59</v>
      </c>
      <c r="K1" s="4" t="s">
        <v>60</v>
      </c>
      <c r="L1" s="4" t="s">
        <v>61</v>
      </c>
      <c r="M1" s="4" t="s">
        <v>62</v>
      </c>
      <c r="N1" s="4" t="s">
        <v>63</v>
      </c>
      <c r="O1" s="4" t="s">
        <v>64</v>
      </c>
      <c r="P1" s="4" t="s">
        <v>65</v>
      </c>
      <c r="Q1" s="4" t="s">
        <v>66</v>
      </c>
      <c r="R1" s="4" t="s">
        <v>67</v>
      </c>
      <c r="S1" s="4" t="s">
        <v>68</v>
      </c>
      <c r="T1" s="4" t="s">
        <v>69</v>
      </c>
      <c r="U1" s="4" t="s">
        <v>70</v>
      </c>
      <c r="V1" s="4" t="s">
        <v>71</v>
      </c>
    </row>
    <row r="2" customFormat="false" ht="22.35" hidden="false" customHeight="false" outlineLevel="0" collapsed="false">
      <c r="A2" s="6" t="s">
        <v>72</v>
      </c>
      <c r="B2" s="6" t="s">
        <v>73</v>
      </c>
      <c r="C2" s="6" t="s">
        <v>74</v>
      </c>
      <c r="D2" s="6" t="s">
        <v>75</v>
      </c>
      <c r="E2" s="6" t="s">
        <v>76</v>
      </c>
      <c r="F2" s="6" t="s">
        <v>77</v>
      </c>
      <c r="G2" s="6" t="s">
        <v>78</v>
      </c>
      <c r="H2" s="6" t="s">
        <v>79</v>
      </c>
      <c r="I2" s="6" t="s">
        <v>80</v>
      </c>
      <c r="J2" s="6" t="s">
        <v>81</v>
      </c>
      <c r="K2" s="6" t="s">
        <v>82</v>
      </c>
      <c r="L2" s="6" t="s">
        <v>83</v>
      </c>
      <c r="M2" s="6" t="s">
        <v>77</v>
      </c>
      <c r="N2" s="6" t="s">
        <v>84</v>
      </c>
      <c r="O2" s="6"/>
      <c r="P2" s="6" t="s">
        <v>85</v>
      </c>
      <c r="Q2" s="7" t="n">
        <f aca="false">IFERROR(INDEX(Wastage_Factors!$B$2:$B$60,MATCH(P2,Wastage_Factors!$A$2:$A$60,0)),0)</f>
        <v>0</v>
      </c>
      <c r="R2" s="6" t="s">
        <v>86</v>
      </c>
      <c r="S2" s="6" t="s">
        <v>87</v>
      </c>
      <c r="T2" s="6" t="s">
        <v>88</v>
      </c>
      <c r="U2" s="6" t="s">
        <v>89</v>
      </c>
      <c r="V2" s="6"/>
    </row>
    <row r="3" customFormat="false" ht="22.35" hidden="false" customHeight="false" outlineLevel="0" collapsed="false">
      <c r="A3" s="6" t="s">
        <v>90</v>
      </c>
      <c r="B3" s="6" t="s">
        <v>73</v>
      </c>
      <c r="C3" s="6" t="s">
        <v>91</v>
      </c>
      <c r="D3" s="6" t="s">
        <v>92</v>
      </c>
      <c r="E3" s="6" t="s">
        <v>93</v>
      </c>
      <c r="F3" s="6" t="s">
        <v>94</v>
      </c>
      <c r="G3" s="6" t="s">
        <v>95</v>
      </c>
      <c r="H3" s="6" t="s">
        <v>96</v>
      </c>
      <c r="I3" s="6" t="s">
        <v>83</v>
      </c>
      <c r="J3" s="6" t="s">
        <v>97</v>
      </c>
      <c r="K3" s="6" t="s">
        <v>82</v>
      </c>
      <c r="L3" s="6" t="s">
        <v>98</v>
      </c>
      <c r="M3" s="6" t="s">
        <v>94</v>
      </c>
      <c r="N3" s="6" t="s">
        <v>94</v>
      </c>
      <c r="O3" s="6"/>
      <c r="P3" s="6" t="s">
        <v>85</v>
      </c>
      <c r="Q3" s="7" t="n">
        <f aca="false">IFERROR(INDEX(Wastage_Factors!$B$2:$B$60,MATCH(P3,Wastage_Factors!$A$2:$A$60,0)),0)</f>
        <v>0</v>
      </c>
      <c r="R3" s="6" t="s">
        <v>86</v>
      </c>
      <c r="S3" s="6" t="s">
        <v>99</v>
      </c>
      <c r="T3" s="6" t="s">
        <v>88</v>
      </c>
      <c r="U3" s="6" t="s">
        <v>83</v>
      </c>
      <c r="V3" s="6"/>
    </row>
    <row r="4" customFormat="false" ht="22.35" hidden="false" customHeight="false" outlineLevel="0" collapsed="false">
      <c r="A4" s="6" t="s">
        <v>100</v>
      </c>
      <c r="B4" s="6" t="s">
        <v>73</v>
      </c>
      <c r="C4" s="6" t="s">
        <v>91</v>
      </c>
      <c r="D4" s="6" t="s">
        <v>101</v>
      </c>
      <c r="E4" s="6" t="s">
        <v>102</v>
      </c>
      <c r="F4" s="6" t="s">
        <v>94</v>
      </c>
      <c r="G4" s="6" t="s">
        <v>103</v>
      </c>
      <c r="H4" s="6" t="s">
        <v>96</v>
      </c>
      <c r="I4" s="6" t="s">
        <v>83</v>
      </c>
      <c r="J4" s="6"/>
      <c r="K4" s="6" t="s">
        <v>82</v>
      </c>
      <c r="L4" s="6" t="s">
        <v>83</v>
      </c>
      <c r="M4" s="6" t="s">
        <v>94</v>
      </c>
      <c r="N4" s="6" t="s">
        <v>94</v>
      </c>
      <c r="O4" s="6"/>
      <c r="P4" s="6" t="s">
        <v>85</v>
      </c>
      <c r="Q4" s="7" t="n">
        <f aca="false">IFERROR(INDEX(Wastage_Factors!$B$2:$B$60,MATCH(P4,Wastage_Factors!$A$2:$A$60,0)),0)</f>
        <v>0</v>
      </c>
      <c r="R4" s="6" t="s">
        <v>86</v>
      </c>
      <c r="S4" s="6" t="s">
        <v>99</v>
      </c>
      <c r="T4" s="6" t="s">
        <v>88</v>
      </c>
      <c r="U4" s="6" t="s">
        <v>83</v>
      </c>
      <c r="V4" s="6"/>
    </row>
    <row r="5" customFormat="false" ht="22.35" hidden="false" customHeight="false" outlineLevel="0" collapsed="false">
      <c r="A5" s="6" t="s">
        <v>104</v>
      </c>
      <c r="B5" s="6" t="s">
        <v>73</v>
      </c>
      <c r="C5" s="6" t="s">
        <v>105</v>
      </c>
      <c r="D5" s="6" t="s">
        <v>106</v>
      </c>
      <c r="E5" s="6" t="s">
        <v>107</v>
      </c>
      <c r="F5" s="6" t="s">
        <v>94</v>
      </c>
      <c r="G5" s="6" t="s">
        <v>108</v>
      </c>
      <c r="H5" s="6" t="s">
        <v>96</v>
      </c>
      <c r="I5" s="6" t="s">
        <v>83</v>
      </c>
      <c r="J5" s="6"/>
      <c r="K5" s="6" t="s">
        <v>82</v>
      </c>
      <c r="L5" s="6" t="s">
        <v>83</v>
      </c>
      <c r="M5" s="6" t="s">
        <v>94</v>
      </c>
      <c r="N5" s="6" t="s">
        <v>94</v>
      </c>
      <c r="O5" s="6"/>
      <c r="P5" s="6" t="s">
        <v>85</v>
      </c>
      <c r="Q5" s="7" t="n">
        <f aca="false">IFERROR(INDEX(Wastage_Factors!$B$2:$B$60,MATCH(P5,Wastage_Factors!$A$2:$A$60,0)),0)</f>
        <v>0</v>
      </c>
      <c r="R5" s="6" t="s">
        <v>86</v>
      </c>
      <c r="S5" s="6" t="s">
        <v>99</v>
      </c>
      <c r="T5" s="6" t="s">
        <v>109</v>
      </c>
      <c r="U5" s="6" t="s">
        <v>110</v>
      </c>
      <c r="V5" s="6"/>
    </row>
    <row r="6" customFormat="false" ht="32.8" hidden="false" customHeight="false" outlineLevel="0" collapsed="false">
      <c r="A6" s="6" t="s">
        <v>111</v>
      </c>
      <c r="B6" s="6" t="s">
        <v>73</v>
      </c>
      <c r="C6" s="6" t="s">
        <v>112</v>
      </c>
      <c r="D6" s="6" t="s">
        <v>113</v>
      </c>
      <c r="E6" s="6" t="s">
        <v>114</v>
      </c>
      <c r="F6" s="6" t="s">
        <v>115</v>
      </c>
      <c r="G6" s="6" t="s">
        <v>116</v>
      </c>
      <c r="H6" s="6" t="s">
        <v>117</v>
      </c>
      <c r="I6" s="6" t="s">
        <v>118</v>
      </c>
      <c r="J6" s="6" t="s">
        <v>119</v>
      </c>
      <c r="K6" s="6" t="s">
        <v>82</v>
      </c>
      <c r="L6" s="6" t="s">
        <v>120</v>
      </c>
      <c r="M6" s="6" t="s">
        <v>115</v>
      </c>
      <c r="N6" s="6" t="s">
        <v>121</v>
      </c>
      <c r="O6" s="6"/>
      <c r="P6" s="6" t="s">
        <v>85</v>
      </c>
      <c r="Q6" s="7" t="n">
        <f aca="false">IFERROR(INDEX(Wastage_Factors!$B$2:$B$60,MATCH(P6,Wastage_Factors!$A$2:$A$60,0)),0)</f>
        <v>0</v>
      </c>
      <c r="R6" s="6" t="s">
        <v>86</v>
      </c>
      <c r="S6" s="6" t="s">
        <v>122</v>
      </c>
      <c r="T6" s="6" t="s">
        <v>88</v>
      </c>
      <c r="U6" s="6" t="s">
        <v>83</v>
      </c>
      <c r="V6" s="6"/>
    </row>
    <row r="7" customFormat="false" ht="22.35" hidden="false" customHeight="false" outlineLevel="0" collapsed="false">
      <c r="A7" s="6" t="s">
        <v>123</v>
      </c>
      <c r="B7" s="6" t="s">
        <v>73</v>
      </c>
      <c r="C7" s="6" t="s">
        <v>124</v>
      </c>
      <c r="D7" s="6" t="s">
        <v>125</v>
      </c>
      <c r="E7" s="6" t="s">
        <v>126</v>
      </c>
      <c r="F7" s="6" t="s">
        <v>115</v>
      </c>
      <c r="G7" s="6" t="s">
        <v>127</v>
      </c>
      <c r="H7" s="6" t="s">
        <v>128</v>
      </c>
      <c r="I7" s="6" t="s">
        <v>129</v>
      </c>
      <c r="J7" s="6"/>
      <c r="K7" s="6" t="s">
        <v>82</v>
      </c>
      <c r="L7" s="6" t="s">
        <v>130</v>
      </c>
      <c r="M7" s="6" t="s">
        <v>115</v>
      </c>
      <c r="N7" s="6" t="s">
        <v>131</v>
      </c>
      <c r="O7" s="6"/>
      <c r="P7" s="6" t="s">
        <v>85</v>
      </c>
      <c r="Q7" s="7" t="n">
        <f aca="false">IFERROR(INDEX(Wastage_Factors!$B$2:$B$60,MATCH(P7,Wastage_Factors!$A$2:$A$60,0)),0)</f>
        <v>0</v>
      </c>
      <c r="R7" s="6" t="s">
        <v>132</v>
      </c>
      <c r="S7" s="6" t="s">
        <v>122</v>
      </c>
      <c r="T7" s="6" t="s">
        <v>88</v>
      </c>
      <c r="U7" s="6" t="s">
        <v>83</v>
      </c>
      <c r="V7" s="6"/>
    </row>
    <row r="8" customFormat="false" ht="22.35" hidden="false" customHeight="false" outlineLevel="0" collapsed="false">
      <c r="A8" s="6" t="s">
        <v>133</v>
      </c>
      <c r="B8" s="6" t="s">
        <v>73</v>
      </c>
      <c r="C8" s="6" t="s">
        <v>134</v>
      </c>
      <c r="D8" s="6" t="s">
        <v>135</v>
      </c>
      <c r="E8" s="6" t="s">
        <v>136</v>
      </c>
      <c r="F8" s="6" t="s">
        <v>94</v>
      </c>
      <c r="G8" s="6" t="s">
        <v>137</v>
      </c>
      <c r="H8" s="6" t="s">
        <v>96</v>
      </c>
      <c r="I8" s="6" t="s">
        <v>83</v>
      </c>
      <c r="J8" s="6"/>
      <c r="K8" s="6" t="s">
        <v>82</v>
      </c>
      <c r="L8" s="6" t="s">
        <v>83</v>
      </c>
      <c r="M8" s="6" t="s">
        <v>94</v>
      </c>
      <c r="N8" s="6" t="s">
        <v>94</v>
      </c>
      <c r="O8" s="6"/>
      <c r="P8" s="6" t="s">
        <v>85</v>
      </c>
      <c r="Q8" s="7" t="n">
        <f aca="false">IFERROR(INDEX(Wastage_Factors!$B$2:$B$60,MATCH(P8,Wastage_Factors!$A$2:$A$60,0)),0)</f>
        <v>0</v>
      </c>
      <c r="R8" s="6" t="s">
        <v>86</v>
      </c>
      <c r="S8" s="6" t="s">
        <v>99</v>
      </c>
      <c r="T8" s="6" t="s">
        <v>88</v>
      </c>
      <c r="U8" s="6" t="s">
        <v>83</v>
      </c>
      <c r="V8" s="6"/>
    </row>
    <row r="9" customFormat="false" ht="22.35" hidden="false" customHeight="false" outlineLevel="0" collapsed="false">
      <c r="A9" s="6" t="s">
        <v>138</v>
      </c>
      <c r="B9" s="6" t="s">
        <v>139</v>
      </c>
      <c r="C9" s="6" t="s">
        <v>140</v>
      </c>
      <c r="D9" s="6" t="s">
        <v>141</v>
      </c>
      <c r="E9" s="6" t="s">
        <v>142</v>
      </c>
      <c r="F9" s="6" t="s">
        <v>143</v>
      </c>
      <c r="G9" s="6" t="s">
        <v>144</v>
      </c>
      <c r="H9" s="6" t="s">
        <v>145</v>
      </c>
      <c r="I9" s="6" t="s">
        <v>146</v>
      </c>
      <c r="J9" s="6" t="s">
        <v>147</v>
      </c>
      <c r="K9" s="6" t="s">
        <v>148</v>
      </c>
      <c r="L9" s="6" t="s">
        <v>83</v>
      </c>
      <c r="M9" s="6" t="s">
        <v>143</v>
      </c>
      <c r="N9" s="6" t="s">
        <v>149</v>
      </c>
      <c r="O9" s="6" t="s">
        <v>150</v>
      </c>
      <c r="P9" s="6" t="s">
        <v>85</v>
      </c>
      <c r="Q9" s="7" t="n">
        <f aca="false">IFERROR(INDEX(Wastage_Factors!$B$2:$B$60,MATCH(P9,Wastage_Factors!$A$2:$A$60,0)),0)</f>
        <v>0</v>
      </c>
      <c r="R9" s="6" t="s">
        <v>132</v>
      </c>
      <c r="S9" s="6" t="s">
        <v>99</v>
      </c>
      <c r="T9" s="6" t="s">
        <v>109</v>
      </c>
      <c r="U9" s="6" t="s">
        <v>151</v>
      </c>
      <c r="V9" s="6"/>
    </row>
    <row r="10" customFormat="false" ht="22.35" hidden="false" customHeight="false" outlineLevel="0" collapsed="false">
      <c r="A10" s="6" t="s">
        <v>152</v>
      </c>
      <c r="B10" s="6" t="s">
        <v>139</v>
      </c>
      <c r="C10" s="6" t="s">
        <v>153</v>
      </c>
      <c r="D10" s="6" t="s">
        <v>154</v>
      </c>
      <c r="E10" s="6" t="s">
        <v>155</v>
      </c>
      <c r="F10" s="6" t="s">
        <v>143</v>
      </c>
      <c r="G10" s="6" t="s">
        <v>156</v>
      </c>
      <c r="H10" s="6" t="s">
        <v>157</v>
      </c>
      <c r="I10" s="6" t="s">
        <v>158</v>
      </c>
      <c r="J10" s="6" t="s">
        <v>159</v>
      </c>
      <c r="K10" s="6" t="s">
        <v>148</v>
      </c>
      <c r="L10" s="6" t="s">
        <v>83</v>
      </c>
      <c r="M10" s="6" t="s">
        <v>143</v>
      </c>
      <c r="N10" s="6" t="s">
        <v>149</v>
      </c>
      <c r="O10" s="6" t="s">
        <v>160</v>
      </c>
      <c r="P10" s="6" t="s">
        <v>161</v>
      </c>
      <c r="Q10" s="7" t="n">
        <f aca="false">IFERROR(INDEX(Wastage_Factors!$B$2:$B$60,MATCH(P10,Wastage_Factors!$A$2:$A$60,0)),0)</f>
        <v>0</v>
      </c>
      <c r="R10" s="6" t="s">
        <v>132</v>
      </c>
      <c r="S10" s="6" t="s">
        <v>99</v>
      </c>
      <c r="T10" s="6" t="s">
        <v>109</v>
      </c>
      <c r="U10" s="6" t="s">
        <v>162</v>
      </c>
      <c r="V10" s="6" t="s">
        <v>163</v>
      </c>
    </row>
    <row r="11" customFormat="false" ht="22.35" hidden="false" customHeight="false" outlineLevel="0" collapsed="false">
      <c r="A11" s="6" t="s">
        <v>164</v>
      </c>
      <c r="B11" s="6" t="s">
        <v>139</v>
      </c>
      <c r="C11" s="6" t="s">
        <v>153</v>
      </c>
      <c r="D11" s="6" t="s">
        <v>165</v>
      </c>
      <c r="E11" s="6" t="s">
        <v>166</v>
      </c>
      <c r="F11" s="6" t="s">
        <v>143</v>
      </c>
      <c r="G11" s="6" t="s">
        <v>167</v>
      </c>
      <c r="H11" s="6" t="s">
        <v>168</v>
      </c>
      <c r="I11" s="6" t="s">
        <v>169</v>
      </c>
      <c r="J11" s="6"/>
      <c r="K11" s="6" t="s">
        <v>148</v>
      </c>
      <c r="L11" s="6" t="s">
        <v>83</v>
      </c>
      <c r="M11" s="6" t="s">
        <v>143</v>
      </c>
      <c r="N11" s="6" t="s">
        <v>149</v>
      </c>
      <c r="O11" s="6" t="s">
        <v>170</v>
      </c>
      <c r="P11" s="6" t="s">
        <v>171</v>
      </c>
      <c r="Q11" s="7" t="n">
        <f aca="false">IFERROR(INDEX(Wastage_Factors!$B$2:$B$60,MATCH(P11,Wastage_Factors!$A$2:$A$60,0)),0)</f>
        <v>0.1</v>
      </c>
      <c r="R11" s="6" t="s">
        <v>132</v>
      </c>
      <c r="S11" s="6" t="s">
        <v>99</v>
      </c>
      <c r="T11" s="6" t="s">
        <v>88</v>
      </c>
      <c r="U11" s="6" t="s">
        <v>83</v>
      </c>
      <c r="V11" s="6"/>
    </row>
    <row r="12" customFormat="false" ht="22.35" hidden="false" customHeight="false" outlineLevel="0" collapsed="false">
      <c r="A12" s="6" t="s">
        <v>172</v>
      </c>
      <c r="B12" s="6" t="s">
        <v>139</v>
      </c>
      <c r="C12" s="6" t="s">
        <v>173</v>
      </c>
      <c r="D12" s="6" t="s">
        <v>174</v>
      </c>
      <c r="E12" s="6" t="s">
        <v>175</v>
      </c>
      <c r="F12" s="6" t="s">
        <v>176</v>
      </c>
      <c r="G12" s="6" t="s">
        <v>177</v>
      </c>
      <c r="H12" s="6" t="s">
        <v>178</v>
      </c>
      <c r="I12" s="6" t="s">
        <v>179</v>
      </c>
      <c r="J12" s="6" t="s">
        <v>180</v>
      </c>
      <c r="K12" s="6" t="s">
        <v>148</v>
      </c>
      <c r="L12" s="6" t="s">
        <v>181</v>
      </c>
      <c r="M12" s="6" t="s">
        <v>182</v>
      </c>
      <c r="N12" s="6" t="s">
        <v>149</v>
      </c>
      <c r="O12" s="6" t="s">
        <v>183</v>
      </c>
      <c r="P12" s="6" t="s">
        <v>184</v>
      </c>
      <c r="Q12" s="7" t="n">
        <f aca="false">IFERROR(INDEX(Wastage_Factors!$B$2:$B$60,MATCH(P12,Wastage_Factors!$A$2:$A$60,0)),0)</f>
        <v>0.05</v>
      </c>
      <c r="R12" s="6" t="s">
        <v>132</v>
      </c>
      <c r="S12" s="6" t="s">
        <v>122</v>
      </c>
      <c r="T12" s="6" t="s">
        <v>88</v>
      </c>
      <c r="U12" s="6" t="s">
        <v>83</v>
      </c>
      <c r="V12" s="6" t="s">
        <v>185</v>
      </c>
    </row>
    <row r="13" customFormat="false" ht="15" hidden="false" customHeight="false" outlineLevel="0" collapsed="false">
      <c r="A13" s="6" t="s">
        <v>186</v>
      </c>
      <c r="B13" s="6" t="s">
        <v>139</v>
      </c>
      <c r="C13" s="6" t="s">
        <v>187</v>
      </c>
      <c r="D13" s="6" t="s">
        <v>188</v>
      </c>
      <c r="E13" s="6" t="s">
        <v>189</v>
      </c>
      <c r="F13" s="6" t="s">
        <v>94</v>
      </c>
      <c r="G13" s="6" t="s">
        <v>190</v>
      </c>
      <c r="H13" s="6" t="s">
        <v>191</v>
      </c>
      <c r="I13" s="6" t="s">
        <v>192</v>
      </c>
      <c r="J13" s="6"/>
      <c r="K13" s="6" t="s">
        <v>148</v>
      </c>
      <c r="L13" s="6" t="s">
        <v>83</v>
      </c>
      <c r="M13" s="6" t="s">
        <v>94</v>
      </c>
      <c r="N13" s="6" t="s">
        <v>94</v>
      </c>
      <c r="O13" s="6"/>
      <c r="P13" s="6" t="s">
        <v>85</v>
      </c>
      <c r="Q13" s="7" t="n">
        <f aca="false">IFERROR(INDEX(Wastage_Factors!$B$2:$B$60,MATCH(P13,Wastage_Factors!$A$2:$A$60,0)),0)</f>
        <v>0</v>
      </c>
      <c r="R13" s="6" t="s">
        <v>132</v>
      </c>
      <c r="S13" s="6" t="s">
        <v>193</v>
      </c>
      <c r="T13" s="6" t="s">
        <v>88</v>
      </c>
      <c r="U13" s="6" t="s">
        <v>83</v>
      </c>
      <c r="V13" s="6"/>
    </row>
    <row r="14" customFormat="false" ht="22.35" hidden="false" customHeight="false" outlineLevel="0" collapsed="false">
      <c r="A14" s="6" t="s">
        <v>194</v>
      </c>
      <c r="B14" s="6" t="s">
        <v>139</v>
      </c>
      <c r="C14" s="6" t="s">
        <v>153</v>
      </c>
      <c r="D14" s="6" t="s">
        <v>195</v>
      </c>
      <c r="E14" s="6" t="s">
        <v>196</v>
      </c>
      <c r="F14" s="6" t="s">
        <v>143</v>
      </c>
      <c r="G14" s="6" t="s">
        <v>197</v>
      </c>
      <c r="H14" s="6" t="s">
        <v>198</v>
      </c>
      <c r="I14" s="6" t="s">
        <v>199</v>
      </c>
      <c r="J14" s="6"/>
      <c r="K14" s="6" t="s">
        <v>148</v>
      </c>
      <c r="L14" s="6" t="s">
        <v>83</v>
      </c>
      <c r="M14" s="6" t="s">
        <v>143</v>
      </c>
      <c r="N14" s="6" t="s">
        <v>200</v>
      </c>
      <c r="O14" s="6"/>
      <c r="P14" s="6" t="s">
        <v>201</v>
      </c>
      <c r="Q14" s="7" t="n">
        <f aca="false">IFERROR(INDEX(Wastage_Factors!$B$2:$B$60,MATCH(P14,Wastage_Factors!$A$2:$A$60,0)),0)</f>
        <v>0.075</v>
      </c>
      <c r="R14" s="6" t="s">
        <v>202</v>
      </c>
      <c r="S14" s="6" t="s">
        <v>87</v>
      </c>
      <c r="T14" s="6" t="s">
        <v>88</v>
      </c>
      <c r="U14" s="6" t="s">
        <v>83</v>
      </c>
      <c r="V14" s="6"/>
    </row>
    <row r="15" customFormat="false" ht="22.35" hidden="false" customHeight="false" outlineLevel="0" collapsed="false">
      <c r="A15" s="6" t="s">
        <v>203</v>
      </c>
      <c r="B15" s="6" t="s">
        <v>139</v>
      </c>
      <c r="C15" s="6" t="s">
        <v>204</v>
      </c>
      <c r="D15" s="6" t="s">
        <v>205</v>
      </c>
      <c r="E15" s="6" t="s">
        <v>206</v>
      </c>
      <c r="F15" s="6" t="s">
        <v>182</v>
      </c>
      <c r="G15" s="6" t="s">
        <v>207</v>
      </c>
      <c r="H15" s="6" t="s">
        <v>208</v>
      </c>
      <c r="I15" s="6" t="s">
        <v>169</v>
      </c>
      <c r="J15" s="6"/>
      <c r="K15" s="6" t="s">
        <v>148</v>
      </c>
      <c r="L15" s="6" t="s">
        <v>83</v>
      </c>
      <c r="M15" s="6" t="s">
        <v>182</v>
      </c>
      <c r="N15" s="6" t="s">
        <v>149</v>
      </c>
      <c r="O15" s="6" t="s">
        <v>209</v>
      </c>
      <c r="P15" s="6" t="s">
        <v>210</v>
      </c>
      <c r="Q15" s="7" t="n">
        <f aca="false">IFERROR(INDEX(Wastage_Factors!$B$2:$B$60,MATCH(P15,Wastage_Factors!$A$2:$A$60,0)),0)</f>
        <v>0.05</v>
      </c>
      <c r="R15" s="6" t="s">
        <v>132</v>
      </c>
      <c r="S15" s="6" t="s">
        <v>122</v>
      </c>
      <c r="T15" s="6" t="s">
        <v>88</v>
      </c>
      <c r="U15" s="6" t="s">
        <v>83</v>
      </c>
      <c r="V15" s="6"/>
    </row>
    <row r="16" customFormat="false" ht="137.3" hidden="false" customHeight="false" outlineLevel="0" collapsed="false">
      <c r="A16" s="6" t="s">
        <v>211</v>
      </c>
      <c r="B16" s="6" t="s">
        <v>212</v>
      </c>
      <c r="C16" s="6" t="s">
        <v>213</v>
      </c>
      <c r="D16" s="6" t="s">
        <v>214</v>
      </c>
      <c r="E16" s="6" t="s">
        <v>215</v>
      </c>
      <c r="F16" s="6" t="s">
        <v>216</v>
      </c>
      <c r="G16" s="6" t="s">
        <v>217</v>
      </c>
      <c r="H16" s="6" t="s">
        <v>218</v>
      </c>
      <c r="I16" s="6" t="s">
        <v>219</v>
      </c>
      <c r="J16" s="6" t="s">
        <v>220</v>
      </c>
      <c r="K16" s="6" t="s">
        <v>148</v>
      </c>
      <c r="L16" s="6" t="s">
        <v>221</v>
      </c>
      <c r="M16" s="6" t="s">
        <v>216</v>
      </c>
      <c r="N16" s="6" t="s">
        <v>149</v>
      </c>
      <c r="O16" s="6" t="s">
        <v>222</v>
      </c>
      <c r="P16" s="6" t="s">
        <v>223</v>
      </c>
      <c r="Q16" s="7" t="n">
        <f aca="false">IFERROR(INDEX(Wastage_Factors!$B$2:$B$60,MATCH(P16,Wastage_Factors!$A$2:$A$60,0)),0)</f>
        <v>0.02</v>
      </c>
      <c r="R16" s="6" t="s">
        <v>224</v>
      </c>
      <c r="S16" s="6" t="s">
        <v>99</v>
      </c>
      <c r="T16" s="6" t="s">
        <v>225</v>
      </c>
      <c r="U16" s="6" t="s">
        <v>226</v>
      </c>
      <c r="V16" s="6" t="s">
        <v>227</v>
      </c>
    </row>
    <row r="17" customFormat="false" ht="22.35" hidden="false" customHeight="false" outlineLevel="0" collapsed="false">
      <c r="A17" s="6" t="s">
        <v>228</v>
      </c>
      <c r="B17" s="6" t="s">
        <v>212</v>
      </c>
      <c r="C17" s="6" t="s">
        <v>213</v>
      </c>
      <c r="D17" s="6" t="s">
        <v>229</v>
      </c>
      <c r="E17" s="6" t="s">
        <v>230</v>
      </c>
      <c r="F17" s="6" t="s">
        <v>216</v>
      </c>
      <c r="G17" s="6" t="s">
        <v>231</v>
      </c>
      <c r="H17" s="6" t="s">
        <v>232</v>
      </c>
      <c r="I17" s="6" t="s">
        <v>192</v>
      </c>
      <c r="J17" s="6"/>
      <c r="K17" s="6" t="s">
        <v>148</v>
      </c>
      <c r="L17" s="6" t="s">
        <v>233</v>
      </c>
      <c r="M17" s="6" t="s">
        <v>216</v>
      </c>
      <c r="N17" s="6" t="s">
        <v>234</v>
      </c>
      <c r="O17" s="6"/>
      <c r="P17" s="6" t="s">
        <v>223</v>
      </c>
      <c r="Q17" s="7" t="n">
        <f aca="false">IFERROR(INDEX(Wastage_Factors!$B$2:$B$60,MATCH(P17,Wastage_Factors!$A$2:$A$60,0)),0)</f>
        <v>0.02</v>
      </c>
      <c r="R17" s="6" t="s">
        <v>132</v>
      </c>
      <c r="S17" s="6" t="s">
        <v>193</v>
      </c>
      <c r="T17" s="6" t="s">
        <v>88</v>
      </c>
      <c r="U17" s="6" t="s">
        <v>83</v>
      </c>
      <c r="V17" s="6"/>
    </row>
    <row r="18" customFormat="false" ht="22.35" hidden="false" customHeight="false" outlineLevel="0" collapsed="false">
      <c r="A18" s="6" t="s">
        <v>235</v>
      </c>
      <c r="B18" s="6" t="s">
        <v>212</v>
      </c>
      <c r="C18" s="6" t="s">
        <v>213</v>
      </c>
      <c r="D18" s="6" t="s">
        <v>236</v>
      </c>
      <c r="E18" s="6" t="s">
        <v>237</v>
      </c>
      <c r="F18" s="6" t="s">
        <v>238</v>
      </c>
      <c r="G18" s="6" t="s">
        <v>239</v>
      </c>
      <c r="H18" s="6" t="s">
        <v>240</v>
      </c>
      <c r="I18" s="6" t="s">
        <v>241</v>
      </c>
      <c r="J18" s="6"/>
      <c r="K18" s="6" t="s">
        <v>242</v>
      </c>
      <c r="L18" s="6" t="s">
        <v>83</v>
      </c>
      <c r="M18" s="6" t="s">
        <v>238</v>
      </c>
      <c r="N18" s="6" t="s">
        <v>149</v>
      </c>
      <c r="O18" s="6" t="s">
        <v>243</v>
      </c>
      <c r="P18" s="6" t="s">
        <v>223</v>
      </c>
      <c r="Q18" s="7" t="n">
        <f aca="false">IFERROR(INDEX(Wastage_Factors!$B$2:$B$60,MATCH(P18,Wastage_Factors!$A$2:$A$60,0)),0)</f>
        <v>0.02</v>
      </c>
      <c r="R18" s="6" t="s">
        <v>244</v>
      </c>
      <c r="S18" s="6" t="s">
        <v>99</v>
      </c>
      <c r="T18" s="6" t="s">
        <v>88</v>
      </c>
      <c r="U18" s="6" t="s">
        <v>83</v>
      </c>
      <c r="V18" s="6" t="s">
        <v>245</v>
      </c>
    </row>
    <row r="19" customFormat="false" ht="85.05" hidden="false" customHeight="false" outlineLevel="0" collapsed="false">
      <c r="A19" s="6" t="s">
        <v>246</v>
      </c>
      <c r="B19" s="6" t="s">
        <v>212</v>
      </c>
      <c r="C19" s="6" t="s">
        <v>247</v>
      </c>
      <c r="D19" s="6" t="s">
        <v>248</v>
      </c>
      <c r="E19" s="6" t="s">
        <v>249</v>
      </c>
      <c r="F19" s="6" t="s">
        <v>143</v>
      </c>
      <c r="G19" s="6" t="s">
        <v>250</v>
      </c>
      <c r="H19" s="6" t="s">
        <v>251</v>
      </c>
      <c r="I19" s="6" t="s">
        <v>252</v>
      </c>
      <c r="J19" s="6" t="s">
        <v>253</v>
      </c>
      <c r="K19" s="6" t="s">
        <v>148</v>
      </c>
      <c r="L19" s="6" t="s">
        <v>254</v>
      </c>
      <c r="M19" s="6" t="s">
        <v>143</v>
      </c>
      <c r="N19" s="6" t="s">
        <v>149</v>
      </c>
      <c r="O19" s="6" t="s">
        <v>255</v>
      </c>
      <c r="P19" s="6" t="s">
        <v>171</v>
      </c>
      <c r="Q19" s="7" t="n">
        <f aca="false">IFERROR(INDEX(Wastage_Factors!$B$2:$B$60,MATCH(P19,Wastage_Factors!$A$2:$A$60,0)),0)</f>
        <v>0.1</v>
      </c>
      <c r="R19" s="6" t="s">
        <v>256</v>
      </c>
      <c r="S19" s="6" t="s">
        <v>99</v>
      </c>
      <c r="T19" s="6" t="s">
        <v>109</v>
      </c>
      <c r="U19" s="6" t="s">
        <v>83</v>
      </c>
      <c r="V19" s="6" t="s">
        <v>257</v>
      </c>
    </row>
    <row r="20" customFormat="false" ht="85.05" hidden="false" customHeight="false" outlineLevel="0" collapsed="false">
      <c r="A20" s="6" t="s">
        <v>258</v>
      </c>
      <c r="B20" s="6" t="s">
        <v>212</v>
      </c>
      <c r="C20" s="6" t="s">
        <v>247</v>
      </c>
      <c r="D20" s="6" t="s">
        <v>259</v>
      </c>
      <c r="E20" s="6" t="s">
        <v>260</v>
      </c>
      <c r="F20" s="6" t="s">
        <v>143</v>
      </c>
      <c r="G20" s="6" t="s">
        <v>261</v>
      </c>
      <c r="H20" s="6" t="s">
        <v>262</v>
      </c>
      <c r="I20" s="6" t="s">
        <v>263</v>
      </c>
      <c r="J20" s="6" t="s">
        <v>264</v>
      </c>
      <c r="K20" s="6" t="s">
        <v>148</v>
      </c>
      <c r="L20" s="6" t="s">
        <v>265</v>
      </c>
      <c r="M20" s="6" t="s">
        <v>143</v>
      </c>
      <c r="N20" s="6" t="s">
        <v>149</v>
      </c>
      <c r="O20" s="6" t="s">
        <v>266</v>
      </c>
      <c r="P20" s="6" t="s">
        <v>171</v>
      </c>
      <c r="Q20" s="7" t="n">
        <f aca="false">IFERROR(INDEX(Wastage_Factors!$B$2:$B$60,MATCH(P20,Wastage_Factors!$A$2:$A$60,0)),0)</f>
        <v>0.1</v>
      </c>
      <c r="R20" s="6" t="s">
        <v>224</v>
      </c>
      <c r="S20" s="6" t="s">
        <v>99</v>
      </c>
      <c r="T20" s="6" t="s">
        <v>109</v>
      </c>
      <c r="U20" s="6" t="s">
        <v>83</v>
      </c>
      <c r="V20" s="6" t="s">
        <v>267</v>
      </c>
    </row>
    <row r="21" customFormat="false" ht="53.7" hidden="false" customHeight="false" outlineLevel="0" collapsed="false">
      <c r="A21" s="6" t="s">
        <v>268</v>
      </c>
      <c r="B21" s="6" t="s">
        <v>212</v>
      </c>
      <c r="C21" s="6" t="s">
        <v>269</v>
      </c>
      <c r="D21" s="6" t="s">
        <v>270</v>
      </c>
      <c r="E21" s="6" t="s">
        <v>271</v>
      </c>
      <c r="F21" s="6" t="s">
        <v>143</v>
      </c>
      <c r="G21" s="6" t="s">
        <v>272</v>
      </c>
      <c r="H21" s="6" t="s">
        <v>273</v>
      </c>
      <c r="I21" s="6" t="s">
        <v>252</v>
      </c>
      <c r="J21" s="6" t="s">
        <v>274</v>
      </c>
      <c r="K21" s="6" t="s">
        <v>148</v>
      </c>
      <c r="L21" s="6" t="s">
        <v>254</v>
      </c>
      <c r="M21" s="6" t="s">
        <v>143</v>
      </c>
      <c r="N21" s="6" t="s">
        <v>149</v>
      </c>
      <c r="O21" s="6" t="s">
        <v>275</v>
      </c>
      <c r="P21" s="6" t="s">
        <v>201</v>
      </c>
      <c r="Q21" s="7" t="n">
        <f aca="false">IFERROR(INDEX(Wastage_Factors!$B$2:$B$60,MATCH(P21,Wastage_Factors!$A$2:$A$60,0)),0)</f>
        <v>0.075</v>
      </c>
      <c r="R21" s="6" t="s">
        <v>256</v>
      </c>
      <c r="S21" s="6" t="s">
        <v>99</v>
      </c>
      <c r="T21" s="6" t="s">
        <v>109</v>
      </c>
      <c r="U21" s="6" t="s">
        <v>83</v>
      </c>
      <c r="V21" s="6" t="s">
        <v>276</v>
      </c>
    </row>
    <row r="22" customFormat="false" ht="32.8" hidden="false" customHeight="false" outlineLevel="0" collapsed="false">
      <c r="A22" s="6" t="s">
        <v>277</v>
      </c>
      <c r="B22" s="6" t="s">
        <v>212</v>
      </c>
      <c r="C22" s="6" t="s">
        <v>269</v>
      </c>
      <c r="D22" s="6" t="s">
        <v>278</v>
      </c>
      <c r="E22" s="6" t="s">
        <v>279</v>
      </c>
      <c r="F22" s="6" t="s">
        <v>143</v>
      </c>
      <c r="G22" s="6" t="s">
        <v>280</v>
      </c>
      <c r="H22" s="6" t="s">
        <v>281</v>
      </c>
      <c r="I22" s="6" t="s">
        <v>282</v>
      </c>
      <c r="J22" s="6"/>
      <c r="K22" s="6" t="s">
        <v>148</v>
      </c>
      <c r="L22" s="6" t="s">
        <v>254</v>
      </c>
      <c r="M22" s="6" t="s">
        <v>143</v>
      </c>
      <c r="N22" s="6" t="s">
        <v>149</v>
      </c>
      <c r="O22" s="6" t="s">
        <v>283</v>
      </c>
      <c r="P22" s="6" t="s">
        <v>201</v>
      </c>
      <c r="Q22" s="7" t="n">
        <f aca="false">IFERROR(INDEX(Wastage_Factors!$B$2:$B$60,MATCH(P22,Wastage_Factors!$A$2:$A$60,0)),0)</f>
        <v>0.075</v>
      </c>
      <c r="R22" s="6" t="s">
        <v>284</v>
      </c>
      <c r="S22" s="6" t="s">
        <v>99</v>
      </c>
      <c r="T22" s="6" t="s">
        <v>109</v>
      </c>
      <c r="U22" s="6" t="s">
        <v>285</v>
      </c>
      <c r="V22" s="6" t="s">
        <v>286</v>
      </c>
    </row>
    <row r="23" customFormat="false" ht="32.8" hidden="false" customHeight="false" outlineLevel="0" collapsed="false">
      <c r="A23" s="6" t="s">
        <v>287</v>
      </c>
      <c r="B23" s="6" t="s">
        <v>212</v>
      </c>
      <c r="C23" s="6" t="s">
        <v>269</v>
      </c>
      <c r="D23" s="6" t="s">
        <v>288</v>
      </c>
      <c r="E23" s="6" t="s">
        <v>289</v>
      </c>
      <c r="F23" s="6" t="s">
        <v>143</v>
      </c>
      <c r="G23" s="6" t="s">
        <v>290</v>
      </c>
      <c r="H23" s="6" t="s">
        <v>291</v>
      </c>
      <c r="I23" s="6" t="s">
        <v>292</v>
      </c>
      <c r="J23" s="6"/>
      <c r="K23" s="6" t="s">
        <v>148</v>
      </c>
      <c r="L23" s="6" t="s">
        <v>83</v>
      </c>
      <c r="M23" s="6" t="s">
        <v>143</v>
      </c>
      <c r="N23" s="6" t="s">
        <v>149</v>
      </c>
      <c r="O23" s="6" t="s">
        <v>293</v>
      </c>
      <c r="P23" s="6" t="s">
        <v>201</v>
      </c>
      <c r="Q23" s="7" t="n">
        <f aca="false">IFERROR(INDEX(Wastage_Factors!$B$2:$B$60,MATCH(P23,Wastage_Factors!$A$2:$A$60,0)),0)</f>
        <v>0.075</v>
      </c>
      <c r="R23" s="6" t="s">
        <v>132</v>
      </c>
      <c r="S23" s="6" t="s">
        <v>99</v>
      </c>
      <c r="T23" s="6" t="s">
        <v>225</v>
      </c>
      <c r="U23" s="6" t="s">
        <v>226</v>
      </c>
      <c r="V23" s="6" t="s">
        <v>294</v>
      </c>
    </row>
    <row r="24" customFormat="false" ht="22.35" hidden="false" customHeight="false" outlineLevel="0" collapsed="false">
      <c r="A24" s="6" t="s">
        <v>295</v>
      </c>
      <c r="B24" s="6" t="s">
        <v>212</v>
      </c>
      <c r="C24" s="6" t="s">
        <v>296</v>
      </c>
      <c r="D24" s="6" t="s">
        <v>297</v>
      </c>
      <c r="E24" s="6" t="s">
        <v>298</v>
      </c>
      <c r="F24" s="6" t="s">
        <v>143</v>
      </c>
      <c r="G24" s="6" t="s">
        <v>299</v>
      </c>
      <c r="H24" s="6" t="s">
        <v>300</v>
      </c>
      <c r="I24" s="6" t="s">
        <v>301</v>
      </c>
      <c r="J24" s="6" t="s">
        <v>302</v>
      </c>
      <c r="K24" s="6" t="s">
        <v>148</v>
      </c>
      <c r="L24" s="6" t="s">
        <v>303</v>
      </c>
      <c r="M24" s="6" t="s">
        <v>304</v>
      </c>
      <c r="N24" s="6" t="s">
        <v>305</v>
      </c>
      <c r="O24" s="6"/>
      <c r="P24" s="6" t="s">
        <v>306</v>
      </c>
      <c r="Q24" s="7" t="n">
        <f aca="false">IFERROR(INDEX(Wastage_Factors!$B$2:$B$60,MATCH(P24,Wastage_Factors!$A$2:$A$60,0)),0)</f>
        <v>0.03</v>
      </c>
      <c r="R24" s="6" t="s">
        <v>307</v>
      </c>
      <c r="S24" s="6" t="s">
        <v>87</v>
      </c>
      <c r="T24" s="6" t="s">
        <v>88</v>
      </c>
      <c r="U24" s="6" t="s">
        <v>83</v>
      </c>
      <c r="V24" s="6"/>
    </row>
    <row r="25" customFormat="false" ht="22.35" hidden="false" customHeight="false" outlineLevel="0" collapsed="false">
      <c r="A25" s="6" t="s">
        <v>308</v>
      </c>
      <c r="B25" s="6" t="s">
        <v>212</v>
      </c>
      <c r="C25" s="6" t="s">
        <v>309</v>
      </c>
      <c r="D25" s="6" t="s">
        <v>310</v>
      </c>
      <c r="E25" s="6" t="s">
        <v>311</v>
      </c>
      <c r="F25" s="6" t="s">
        <v>176</v>
      </c>
      <c r="G25" s="6" t="s">
        <v>312</v>
      </c>
      <c r="H25" s="6" t="s">
        <v>313</v>
      </c>
      <c r="I25" s="6" t="s">
        <v>314</v>
      </c>
      <c r="J25" s="6"/>
      <c r="K25" s="6" t="s">
        <v>148</v>
      </c>
      <c r="L25" s="6" t="s">
        <v>315</v>
      </c>
      <c r="M25" s="6" t="s">
        <v>176</v>
      </c>
      <c r="N25" s="6" t="s">
        <v>316</v>
      </c>
      <c r="O25" s="6"/>
      <c r="P25" s="6" t="s">
        <v>184</v>
      </c>
      <c r="Q25" s="7" t="n">
        <f aca="false">IFERROR(INDEX(Wastage_Factors!$B$2:$B$60,MATCH(P25,Wastage_Factors!$A$2:$A$60,0)),0)</f>
        <v>0.05</v>
      </c>
      <c r="R25" s="6" t="s">
        <v>307</v>
      </c>
      <c r="S25" s="6" t="s">
        <v>87</v>
      </c>
      <c r="T25" s="6" t="s">
        <v>88</v>
      </c>
      <c r="U25" s="6" t="s">
        <v>83</v>
      </c>
      <c r="V25" s="6"/>
    </row>
    <row r="26" customFormat="false" ht="22.35" hidden="false" customHeight="false" outlineLevel="0" collapsed="false">
      <c r="A26" s="6" t="s">
        <v>317</v>
      </c>
      <c r="B26" s="6" t="s">
        <v>212</v>
      </c>
      <c r="C26" s="6" t="s">
        <v>309</v>
      </c>
      <c r="D26" s="6" t="s">
        <v>318</v>
      </c>
      <c r="E26" s="6" t="s">
        <v>319</v>
      </c>
      <c r="F26" s="6" t="s">
        <v>176</v>
      </c>
      <c r="G26" s="6" t="s">
        <v>320</v>
      </c>
      <c r="H26" s="6" t="s">
        <v>321</v>
      </c>
      <c r="I26" s="6" t="s">
        <v>322</v>
      </c>
      <c r="J26" s="6"/>
      <c r="K26" s="6" t="s">
        <v>148</v>
      </c>
      <c r="L26" s="6" t="s">
        <v>83</v>
      </c>
      <c r="M26" s="6" t="s">
        <v>182</v>
      </c>
      <c r="N26" s="6" t="s">
        <v>323</v>
      </c>
      <c r="O26" s="6"/>
      <c r="P26" s="6" t="s">
        <v>184</v>
      </c>
      <c r="Q26" s="7" t="n">
        <f aca="false">IFERROR(INDEX(Wastage_Factors!$B$2:$B$60,MATCH(P26,Wastage_Factors!$A$2:$A$60,0)),0)</f>
        <v>0.05</v>
      </c>
      <c r="R26" s="6" t="s">
        <v>324</v>
      </c>
      <c r="S26" s="6" t="s">
        <v>87</v>
      </c>
      <c r="T26" s="6" t="s">
        <v>88</v>
      </c>
      <c r="U26" s="6" t="s">
        <v>83</v>
      </c>
      <c r="V26" s="6"/>
    </row>
    <row r="27" customFormat="false" ht="22.35" hidden="false" customHeight="false" outlineLevel="0" collapsed="false">
      <c r="A27" s="6" t="s">
        <v>325</v>
      </c>
      <c r="B27" s="6" t="s">
        <v>212</v>
      </c>
      <c r="C27" s="6" t="s">
        <v>326</v>
      </c>
      <c r="D27" s="6" t="s">
        <v>327</v>
      </c>
      <c r="E27" s="6" t="s">
        <v>328</v>
      </c>
      <c r="F27" s="6" t="s">
        <v>182</v>
      </c>
      <c r="G27" s="6" t="s">
        <v>329</v>
      </c>
      <c r="H27" s="6" t="s">
        <v>330</v>
      </c>
      <c r="I27" s="6" t="s">
        <v>322</v>
      </c>
      <c r="J27" s="6"/>
      <c r="K27" s="6" t="s">
        <v>148</v>
      </c>
      <c r="L27" s="6" t="s">
        <v>331</v>
      </c>
      <c r="M27" s="6" t="s">
        <v>182</v>
      </c>
      <c r="N27" s="6" t="s">
        <v>332</v>
      </c>
      <c r="O27" s="6"/>
      <c r="P27" s="6" t="s">
        <v>184</v>
      </c>
      <c r="Q27" s="7" t="n">
        <f aca="false">IFERROR(INDEX(Wastage_Factors!$B$2:$B$60,MATCH(P27,Wastage_Factors!$A$2:$A$60,0)),0)</f>
        <v>0.05</v>
      </c>
      <c r="R27" s="6" t="s">
        <v>307</v>
      </c>
      <c r="S27" s="6" t="s">
        <v>99</v>
      </c>
      <c r="T27" s="6" t="s">
        <v>88</v>
      </c>
      <c r="U27" s="6" t="s">
        <v>83</v>
      </c>
      <c r="V27" s="6"/>
    </row>
    <row r="28" customFormat="false" ht="64.15" hidden="false" customHeight="false" outlineLevel="0" collapsed="false">
      <c r="A28" s="6" t="s">
        <v>333</v>
      </c>
      <c r="B28" s="6" t="s">
        <v>212</v>
      </c>
      <c r="C28" s="6" t="s">
        <v>334</v>
      </c>
      <c r="D28" s="6" t="s">
        <v>335</v>
      </c>
      <c r="E28" s="6" t="s">
        <v>336</v>
      </c>
      <c r="F28" s="6" t="s">
        <v>115</v>
      </c>
      <c r="G28" s="6" t="s">
        <v>337</v>
      </c>
      <c r="H28" s="6" t="s">
        <v>338</v>
      </c>
      <c r="I28" s="6" t="s">
        <v>339</v>
      </c>
      <c r="J28" s="6"/>
      <c r="K28" s="6" t="s">
        <v>148</v>
      </c>
      <c r="L28" s="6" t="s">
        <v>340</v>
      </c>
      <c r="M28" s="6" t="s">
        <v>115</v>
      </c>
      <c r="N28" s="6" t="s">
        <v>149</v>
      </c>
      <c r="O28" s="6" t="s">
        <v>341</v>
      </c>
      <c r="P28" s="6" t="s">
        <v>184</v>
      </c>
      <c r="Q28" s="7" t="n">
        <f aca="false">IFERROR(INDEX(Wastage_Factors!$B$2:$B$60,MATCH(P28,Wastage_Factors!$A$2:$A$60,0)),0)</f>
        <v>0.05</v>
      </c>
      <c r="R28" s="6" t="s">
        <v>284</v>
      </c>
      <c r="S28" s="6" t="s">
        <v>99</v>
      </c>
      <c r="T28" s="6" t="s">
        <v>88</v>
      </c>
      <c r="U28" s="6" t="s">
        <v>83</v>
      </c>
      <c r="V28" s="6" t="s">
        <v>342</v>
      </c>
    </row>
    <row r="29" customFormat="false" ht="22.35" hidden="false" customHeight="false" outlineLevel="0" collapsed="false">
      <c r="A29" s="6" t="s">
        <v>343</v>
      </c>
      <c r="B29" s="6" t="s">
        <v>212</v>
      </c>
      <c r="C29" s="6" t="s">
        <v>344</v>
      </c>
      <c r="D29" s="6" t="s">
        <v>345</v>
      </c>
      <c r="E29" s="6" t="s">
        <v>346</v>
      </c>
      <c r="F29" s="6" t="s">
        <v>143</v>
      </c>
      <c r="G29" s="6" t="s">
        <v>347</v>
      </c>
      <c r="H29" s="6" t="s">
        <v>348</v>
      </c>
      <c r="I29" s="6" t="s">
        <v>349</v>
      </c>
      <c r="J29" s="6" t="s">
        <v>350</v>
      </c>
      <c r="K29" s="6" t="s">
        <v>148</v>
      </c>
      <c r="L29" s="6" t="s">
        <v>83</v>
      </c>
      <c r="M29" s="6" t="s">
        <v>182</v>
      </c>
      <c r="N29" s="6" t="s">
        <v>351</v>
      </c>
      <c r="O29" s="6"/>
      <c r="P29" s="6" t="s">
        <v>201</v>
      </c>
      <c r="Q29" s="7" t="n">
        <f aca="false">IFERROR(INDEX(Wastage_Factors!$B$2:$B$60,MATCH(P29,Wastage_Factors!$A$2:$A$60,0)),0)</f>
        <v>0.075</v>
      </c>
      <c r="R29" s="6" t="s">
        <v>132</v>
      </c>
      <c r="S29" s="6" t="s">
        <v>99</v>
      </c>
      <c r="T29" s="6" t="s">
        <v>225</v>
      </c>
      <c r="U29" s="6" t="s">
        <v>352</v>
      </c>
      <c r="V29" s="6"/>
    </row>
    <row r="30" customFormat="false" ht="64.15" hidden="false" customHeight="false" outlineLevel="0" collapsed="false">
      <c r="A30" s="6" t="s">
        <v>353</v>
      </c>
      <c r="B30" s="6" t="s">
        <v>354</v>
      </c>
      <c r="C30" s="6" t="s">
        <v>355</v>
      </c>
      <c r="D30" s="6" t="s">
        <v>356</v>
      </c>
      <c r="E30" s="6" t="s">
        <v>357</v>
      </c>
      <c r="F30" s="6" t="s">
        <v>238</v>
      </c>
      <c r="G30" s="6" t="s">
        <v>358</v>
      </c>
      <c r="H30" s="6" t="s">
        <v>359</v>
      </c>
      <c r="I30" s="6" t="s">
        <v>360</v>
      </c>
      <c r="J30" s="6" t="s">
        <v>361</v>
      </c>
      <c r="K30" s="6" t="s">
        <v>148</v>
      </c>
      <c r="L30" s="6" t="s">
        <v>362</v>
      </c>
      <c r="M30" s="6" t="s">
        <v>238</v>
      </c>
      <c r="N30" s="6" t="s">
        <v>149</v>
      </c>
      <c r="O30" s="6" t="s">
        <v>363</v>
      </c>
      <c r="P30" s="6" t="s">
        <v>364</v>
      </c>
      <c r="Q30" s="7" t="n">
        <f aca="false">IFERROR(INDEX(Wastage_Factors!$B$2:$B$60,MATCH(P30,Wastage_Factors!$A$2:$A$60,0)),0)</f>
        <v>0.03</v>
      </c>
      <c r="R30" s="6" t="s">
        <v>284</v>
      </c>
      <c r="S30" s="6" t="s">
        <v>99</v>
      </c>
      <c r="T30" s="6" t="s">
        <v>225</v>
      </c>
      <c r="U30" s="6" t="s">
        <v>365</v>
      </c>
      <c r="V30" s="6" t="s">
        <v>366</v>
      </c>
    </row>
    <row r="31" customFormat="false" ht="74.6" hidden="false" customHeight="false" outlineLevel="0" collapsed="false">
      <c r="A31" s="6" t="s">
        <v>367</v>
      </c>
      <c r="B31" s="6" t="s">
        <v>354</v>
      </c>
      <c r="C31" s="6" t="s">
        <v>355</v>
      </c>
      <c r="D31" s="6" t="s">
        <v>368</v>
      </c>
      <c r="E31" s="6" t="s">
        <v>369</v>
      </c>
      <c r="F31" s="6" t="s">
        <v>238</v>
      </c>
      <c r="G31" s="6" t="s">
        <v>370</v>
      </c>
      <c r="H31" s="6" t="s">
        <v>371</v>
      </c>
      <c r="I31" s="6" t="s">
        <v>372</v>
      </c>
      <c r="J31" s="6"/>
      <c r="K31" s="6" t="s">
        <v>148</v>
      </c>
      <c r="L31" s="6" t="s">
        <v>362</v>
      </c>
      <c r="M31" s="6" t="s">
        <v>238</v>
      </c>
      <c r="N31" s="6" t="s">
        <v>149</v>
      </c>
      <c r="O31" s="6" t="s">
        <v>373</v>
      </c>
      <c r="P31" s="6" t="s">
        <v>364</v>
      </c>
      <c r="Q31" s="7" t="n">
        <f aca="false">IFERROR(INDEX(Wastage_Factors!$B$2:$B$60,MATCH(P31,Wastage_Factors!$A$2:$A$60,0)),0)</f>
        <v>0.03</v>
      </c>
      <c r="R31" s="6" t="s">
        <v>284</v>
      </c>
      <c r="S31" s="6" t="s">
        <v>99</v>
      </c>
      <c r="T31" s="6" t="s">
        <v>225</v>
      </c>
      <c r="U31" s="6" t="s">
        <v>374</v>
      </c>
      <c r="V31" s="6" t="s">
        <v>375</v>
      </c>
    </row>
    <row r="32" customFormat="false" ht="22.35" hidden="false" customHeight="false" outlineLevel="0" collapsed="false">
      <c r="A32" s="6" t="s">
        <v>376</v>
      </c>
      <c r="B32" s="6" t="s">
        <v>354</v>
      </c>
      <c r="C32" s="6" t="s">
        <v>355</v>
      </c>
      <c r="D32" s="6" t="s">
        <v>377</v>
      </c>
      <c r="E32" s="6" t="s">
        <v>378</v>
      </c>
      <c r="F32" s="6" t="s">
        <v>238</v>
      </c>
      <c r="G32" s="6" t="s">
        <v>379</v>
      </c>
      <c r="H32" s="6" t="s">
        <v>380</v>
      </c>
      <c r="I32" s="6" t="s">
        <v>372</v>
      </c>
      <c r="J32" s="6" t="s">
        <v>381</v>
      </c>
      <c r="K32" s="6" t="s">
        <v>148</v>
      </c>
      <c r="L32" s="6" t="s">
        <v>362</v>
      </c>
      <c r="M32" s="6" t="s">
        <v>238</v>
      </c>
      <c r="N32" s="6" t="s">
        <v>149</v>
      </c>
      <c r="O32" s="6" t="s">
        <v>382</v>
      </c>
      <c r="P32" s="6" t="s">
        <v>364</v>
      </c>
      <c r="Q32" s="7" t="n">
        <f aca="false">IFERROR(INDEX(Wastage_Factors!$B$2:$B$60,MATCH(P32,Wastage_Factors!$A$2:$A$60,0)),0)</f>
        <v>0.03</v>
      </c>
      <c r="R32" s="6" t="s">
        <v>307</v>
      </c>
      <c r="S32" s="6" t="s">
        <v>99</v>
      </c>
      <c r="T32" s="6" t="s">
        <v>88</v>
      </c>
      <c r="U32" s="6" t="s">
        <v>383</v>
      </c>
      <c r="V32" s="6" t="s">
        <v>384</v>
      </c>
    </row>
    <row r="33" customFormat="false" ht="22.35" hidden="false" customHeight="false" outlineLevel="0" collapsed="false">
      <c r="A33" s="6" t="s">
        <v>385</v>
      </c>
      <c r="B33" s="6" t="s">
        <v>354</v>
      </c>
      <c r="C33" s="6" t="s">
        <v>355</v>
      </c>
      <c r="D33" s="6" t="s">
        <v>386</v>
      </c>
      <c r="E33" s="6" t="s">
        <v>387</v>
      </c>
      <c r="F33" s="6" t="s">
        <v>238</v>
      </c>
      <c r="G33" s="6" t="s">
        <v>388</v>
      </c>
      <c r="H33" s="6" t="s">
        <v>389</v>
      </c>
      <c r="I33" s="6" t="s">
        <v>372</v>
      </c>
      <c r="J33" s="6"/>
      <c r="K33" s="6" t="s">
        <v>148</v>
      </c>
      <c r="L33" s="6" t="s">
        <v>362</v>
      </c>
      <c r="M33" s="6" t="s">
        <v>238</v>
      </c>
      <c r="N33" s="6" t="s">
        <v>390</v>
      </c>
      <c r="O33" s="6"/>
      <c r="P33" s="6" t="s">
        <v>364</v>
      </c>
      <c r="Q33" s="7" t="n">
        <f aca="false">IFERROR(INDEX(Wastage_Factors!$B$2:$B$60,MATCH(P33,Wastage_Factors!$A$2:$A$60,0)),0)</f>
        <v>0.03</v>
      </c>
      <c r="R33" s="6" t="s">
        <v>307</v>
      </c>
      <c r="S33" s="6" t="s">
        <v>193</v>
      </c>
      <c r="T33" s="6" t="s">
        <v>88</v>
      </c>
      <c r="U33" s="6" t="s">
        <v>383</v>
      </c>
      <c r="V33" s="6"/>
    </row>
    <row r="34" customFormat="false" ht="64.15" hidden="false" customHeight="false" outlineLevel="0" collapsed="false">
      <c r="A34" s="6" t="s">
        <v>391</v>
      </c>
      <c r="B34" s="6" t="s">
        <v>354</v>
      </c>
      <c r="C34" s="6" t="s">
        <v>334</v>
      </c>
      <c r="D34" s="6" t="s">
        <v>392</v>
      </c>
      <c r="E34" s="6" t="s">
        <v>393</v>
      </c>
      <c r="F34" s="6" t="s">
        <v>238</v>
      </c>
      <c r="G34" s="6" t="s">
        <v>394</v>
      </c>
      <c r="H34" s="6" t="s">
        <v>359</v>
      </c>
      <c r="I34" s="6" t="s">
        <v>395</v>
      </c>
      <c r="J34" s="6" t="s">
        <v>396</v>
      </c>
      <c r="K34" s="6" t="s">
        <v>148</v>
      </c>
      <c r="L34" s="6" t="s">
        <v>83</v>
      </c>
      <c r="M34" s="6" t="s">
        <v>238</v>
      </c>
      <c r="N34" s="6" t="s">
        <v>149</v>
      </c>
      <c r="O34" s="6" t="s">
        <v>363</v>
      </c>
      <c r="P34" s="6" t="s">
        <v>85</v>
      </c>
      <c r="Q34" s="7" t="n">
        <f aca="false">IFERROR(INDEX(Wastage_Factors!$B$2:$B$60,MATCH(P34,Wastage_Factors!$A$2:$A$60,0)),0)</f>
        <v>0</v>
      </c>
      <c r="R34" s="6" t="s">
        <v>284</v>
      </c>
      <c r="S34" s="6" t="s">
        <v>99</v>
      </c>
      <c r="T34" s="6" t="s">
        <v>109</v>
      </c>
      <c r="U34" s="6" t="s">
        <v>83</v>
      </c>
      <c r="V34" s="6" t="s">
        <v>366</v>
      </c>
    </row>
    <row r="35" customFormat="false" ht="22.35" hidden="false" customHeight="false" outlineLevel="0" collapsed="false">
      <c r="A35" s="6" t="s">
        <v>397</v>
      </c>
      <c r="B35" s="6" t="s">
        <v>354</v>
      </c>
      <c r="C35" s="6" t="s">
        <v>334</v>
      </c>
      <c r="D35" s="6" t="s">
        <v>398</v>
      </c>
      <c r="E35" s="6" t="s">
        <v>399</v>
      </c>
      <c r="F35" s="6" t="s">
        <v>238</v>
      </c>
      <c r="G35" s="6" t="s">
        <v>400</v>
      </c>
      <c r="H35" s="6" t="s">
        <v>401</v>
      </c>
      <c r="I35" s="6" t="s">
        <v>372</v>
      </c>
      <c r="J35" s="6" t="s">
        <v>402</v>
      </c>
      <c r="K35" s="6" t="s">
        <v>148</v>
      </c>
      <c r="L35" s="6" t="s">
        <v>83</v>
      </c>
      <c r="M35" s="6" t="s">
        <v>238</v>
      </c>
      <c r="N35" s="6" t="s">
        <v>403</v>
      </c>
      <c r="O35" s="6"/>
      <c r="P35" s="6" t="s">
        <v>364</v>
      </c>
      <c r="Q35" s="7" t="n">
        <f aca="false">IFERROR(INDEX(Wastage_Factors!$B$2:$B$60,MATCH(P35,Wastage_Factors!$A$2:$A$60,0)),0)</f>
        <v>0.03</v>
      </c>
      <c r="R35" s="6" t="s">
        <v>307</v>
      </c>
      <c r="S35" s="6" t="s">
        <v>99</v>
      </c>
      <c r="T35" s="6" t="s">
        <v>88</v>
      </c>
      <c r="U35" s="6" t="s">
        <v>83</v>
      </c>
      <c r="V35" s="6"/>
    </row>
    <row r="36" customFormat="false" ht="22.35" hidden="false" customHeight="false" outlineLevel="0" collapsed="false">
      <c r="A36" s="6" t="s">
        <v>404</v>
      </c>
      <c r="B36" s="6" t="s">
        <v>354</v>
      </c>
      <c r="C36" s="6" t="s">
        <v>405</v>
      </c>
      <c r="D36" s="6" t="s">
        <v>406</v>
      </c>
      <c r="E36" s="6" t="s">
        <v>407</v>
      </c>
      <c r="F36" s="6" t="s">
        <v>182</v>
      </c>
      <c r="G36" s="6" t="s">
        <v>408</v>
      </c>
      <c r="H36" s="6" t="s">
        <v>409</v>
      </c>
      <c r="I36" s="6" t="s">
        <v>199</v>
      </c>
      <c r="J36" s="6"/>
      <c r="K36" s="6" t="s">
        <v>148</v>
      </c>
      <c r="L36" s="6" t="s">
        <v>410</v>
      </c>
      <c r="M36" s="6" t="s">
        <v>182</v>
      </c>
      <c r="N36" s="6" t="s">
        <v>411</v>
      </c>
      <c r="O36" s="6"/>
      <c r="P36" s="6" t="s">
        <v>364</v>
      </c>
      <c r="Q36" s="7" t="n">
        <f aca="false">IFERROR(INDEX(Wastage_Factors!$B$2:$B$60,MATCH(P36,Wastage_Factors!$A$2:$A$60,0)),0)</f>
        <v>0.03</v>
      </c>
      <c r="R36" s="6" t="s">
        <v>202</v>
      </c>
      <c r="S36" s="6" t="s">
        <v>87</v>
      </c>
      <c r="T36" s="6" t="s">
        <v>88</v>
      </c>
      <c r="U36" s="6" t="s">
        <v>83</v>
      </c>
      <c r="V36" s="6"/>
    </row>
    <row r="37" customFormat="false" ht="22.35" hidden="false" customHeight="false" outlineLevel="0" collapsed="false">
      <c r="A37" s="6" t="s">
        <v>412</v>
      </c>
      <c r="B37" s="6" t="s">
        <v>354</v>
      </c>
      <c r="C37" s="6" t="s">
        <v>413</v>
      </c>
      <c r="D37" s="6" t="s">
        <v>414</v>
      </c>
      <c r="E37" s="6" t="s">
        <v>415</v>
      </c>
      <c r="F37" s="6" t="s">
        <v>238</v>
      </c>
      <c r="G37" s="6" t="s">
        <v>416</v>
      </c>
      <c r="H37" s="6" t="s">
        <v>417</v>
      </c>
      <c r="I37" s="6" t="s">
        <v>418</v>
      </c>
      <c r="J37" s="6" t="s">
        <v>419</v>
      </c>
      <c r="K37" s="6" t="s">
        <v>148</v>
      </c>
      <c r="L37" s="6" t="s">
        <v>420</v>
      </c>
      <c r="M37" s="6" t="s">
        <v>238</v>
      </c>
      <c r="N37" s="6" t="s">
        <v>421</v>
      </c>
      <c r="O37" s="6"/>
      <c r="P37" s="6" t="s">
        <v>422</v>
      </c>
      <c r="Q37" s="7" t="n">
        <f aca="false">IFERROR(INDEX(Wastage_Factors!$B$2:$B$60,MATCH(P37,Wastage_Factors!$A$2:$A$60,0)),0)</f>
        <v>0.05</v>
      </c>
      <c r="R37" s="6" t="s">
        <v>423</v>
      </c>
      <c r="S37" s="6" t="s">
        <v>99</v>
      </c>
      <c r="T37" s="6" t="s">
        <v>225</v>
      </c>
      <c r="U37" s="6" t="s">
        <v>424</v>
      </c>
      <c r="V37" s="6"/>
    </row>
    <row r="38" customFormat="false" ht="22.35" hidden="false" customHeight="false" outlineLevel="0" collapsed="false">
      <c r="A38" s="6" t="s">
        <v>425</v>
      </c>
      <c r="B38" s="6" t="s">
        <v>354</v>
      </c>
      <c r="C38" s="6" t="s">
        <v>426</v>
      </c>
      <c r="D38" s="6" t="s">
        <v>427</v>
      </c>
      <c r="E38" s="6" t="s">
        <v>428</v>
      </c>
      <c r="F38" s="6" t="s">
        <v>238</v>
      </c>
      <c r="G38" s="6" t="s">
        <v>429</v>
      </c>
      <c r="H38" s="6" t="s">
        <v>430</v>
      </c>
      <c r="I38" s="6" t="s">
        <v>431</v>
      </c>
      <c r="J38" s="6" t="s">
        <v>432</v>
      </c>
      <c r="K38" s="6" t="s">
        <v>148</v>
      </c>
      <c r="L38" s="6" t="s">
        <v>433</v>
      </c>
      <c r="M38" s="6" t="s">
        <v>238</v>
      </c>
      <c r="N38" s="6" t="s">
        <v>434</v>
      </c>
      <c r="O38" s="6"/>
      <c r="P38" s="6" t="s">
        <v>364</v>
      </c>
      <c r="Q38" s="7" t="n">
        <f aca="false">IFERROR(INDEX(Wastage_Factors!$B$2:$B$60,MATCH(P38,Wastage_Factors!$A$2:$A$60,0)),0)</f>
        <v>0.03</v>
      </c>
      <c r="R38" s="6" t="s">
        <v>307</v>
      </c>
      <c r="S38" s="6" t="s">
        <v>122</v>
      </c>
      <c r="T38" s="6" t="s">
        <v>88</v>
      </c>
      <c r="U38" s="6" t="s">
        <v>88</v>
      </c>
      <c r="V38" s="6"/>
    </row>
    <row r="39" customFormat="false" ht="22.35" hidden="false" customHeight="false" outlineLevel="0" collapsed="false">
      <c r="A39" s="6" t="s">
        <v>435</v>
      </c>
      <c r="B39" s="6" t="s">
        <v>436</v>
      </c>
      <c r="C39" s="6" t="s">
        <v>437</v>
      </c>
      <c r="D39" s="6" t="s">
        <v>438</v>
      </c>
      <c r="E39" s="6" t="s">
        <v>439</v>
      </c>
      <c r="F39" s="6" t="s">
        <v>182</v>
      </c>
      <c r="G39" s="6" t="s">
        <v>440</v>
      </c>
      <c r="H39" s="6" t="s">
        <v>441</v>
      </c>
      <c r="I39" s="6" t="s">
        <v>442</v>
      </c>
      <c r="J39" s="6" t="s">
        <v>443</v>
      </c>
      <c r="K39" s="6" t="s">
        <v>148</v>
      </c>
      <c r="L39" s="6" t="s">
        <v>83</v>
      </c>
      <c r="M39" s="6" t="s">
        <v>182</v>
      </c>
      <c r="N39" s="6" t="s">
        <v>149</v>
      </c>
      <c r="O39" s="6" t="s">
        <v>444</v>
      </c>
      <c r="P39" s="6" t="s">
        <v>85</v>
      </c>
      <c r="Q39" s="7" t="n">
        <f aca="false">IFERROR(INDEX(Wastage_Factors!$B$2:$B$60,MATCH(P39,Wastage_Factors!$A$2:$A$60,0)),0)</f>
        <v>0</v>
      </c>
      <c r="R39" s="6" t="s">
        <v>307</v>
      </c>
      <c r="S39" s="6" t="s">
        <v>99</v>
      </c>
      <c r="T39" s="6" t="s">
        <v>88</v>
      </c>
      <c r="U39" s="6" t="s">
        <v>83</v>
      </c>
      <c r="V39" s="6" t="s">
        <v>445</v>
      </c>
    </row>
    <row r="40" customFormat="false" ht="22.35" hidden="false" customHeight="false" outlineLevel="0" collapsed="false">
      <c r="A40" s="6" t="s">
        <v>446</v>
      </c>
      <c r="B40" s="6" t="s">
        <v>436</v>
      </c>
      <c r="C40" s="6" t="s">
        <v>437</v>
      </c>
      <c r="D40" s="6" t="s">
        <v>447</v>
      </c>
      <c r="E40" s="6" t="s">
        <v>448</v>
      </c>
      <c r="F40" s="6" t="s">
        <v>182</v>
      </c>
      <c r="G40" s="6" t="s">
        <v>449</v>
      </c>
      <c r="H40" s="6" t="s">
        <v>450</v>
      </c>
      <c r="I40" s="6" t="s">
        <v>451</v>
      </c>
      <c r="J40" s="6"/>
      <c r="K40" s="6" t="s">
        <v>148</v>
      </c>
      <c r="L40" s="6" t="s">
        <v>83</v>
      </c>
      <c r="M40" s="6" t="s">
        <v>182</v>
      </c>
      <c r="N40" s="6" t="s">
        <v>149</v>
      </c>
      <c r="O40" s="6" t="s">
        <v>452</v>
      </c>
      <c r="P40" s="6" t="s">
        <v>453</v>
      </c>
      <c r="Q40" s="7" t="n">
        <f aca="false">IFERROR(INDEX(Wastage_Factors!$B$2:$B$60,MATCH(P40,Wastage_Factors!$A$2:$A$60,0)),0)</f>
        <v>0.1</v>
      </c>
      <c r="R40" s="6" t="s">
        <v>284</v>
      </c>
      <c r="S40" s="6" t="s">
        <v>99</v>
      </c>
      <c r="T40" s="6" t="s">
        <v>88</v>
      </c>
      <c r="U40" s="6" t="s">
        <v>83</v>
      </c>
      <c r="V40" s="6" t="s">
        <v>454</v>
      </c>
    </row>
    <row r="41" customFormat="false" ht="22.35" hidden="false" customHeight="false" outlineLevel="0" collapsed="false">
      <c r="A41" s="6" t="s">
        <v>455</v>
      </c>
      <c r="B41" s="6" t="s">
        <v>436</v>
      </c>
      <c r="C41" s="6" t="s">
        <v>456</v>
      </c>
      <c r="D41" s="6" t="s">
        <v>457</v>
      </c>
      <c r="E41" s="6" t="s">
        <v>458</v>
      </c>
      <c r="F41" s="6" t="s">
        <v>115</v>
      </c>
      <c r="G41" s="6" t="s">
        <v>459</v>
      </c>
      <c r="H41" s="6" t="s">
        <v>441</v>
      </c>
      <c r="I41" s="6" t="s">
        <v>322</v>
      </c>
      <c r="J41" s="6"/>
      <c r="K41" s="6" t="s">
        <v>148</v>
      </c>
      <c r="L41" s="6" t="s">
        <v>83</v>
      </c>
      <c r="M41" s="6" t="s">
        <v>115</v>
      </c>
      <c r="N41" s="6" t="s">
        <v>149</v>
      </c>
      <c r="O41" s="6" t="s">
        <v>444</v>
      </c>
      <c r="P41" s="6" t="s">
        <v>85</v>
      </c>
      <c r="Q41" s="7" t="n">
        <f aca="false">IFERROR(INDEX(Wastage_Factors!$B$2:$B$60,MATCH(P41,Wastage_Factors!$A$2:$A$60,0)),0)</f>
        <v>0</v>
      </c>
      <c r="R41" s="6" t="s">
        <v>307</v>
      </c>
      <c r="S41" s="6" t="s">
        <v>99</v>
      </c>
      <c r="T41" s="6" t="s">
        <v>88</v>
      </c>
      <c r="U41" s="6" t="s">
        <v>83</v>
      </c>
      <c r="V41" s="6" t="s">
        <v>445</v>
      </c>
    </row>
    <row r="42" customFormat="false" ht="22.35" hidden="false" customHeight="false" outlineLevel="0" collapsed="false">
      <c r="A42" s="6" t="s">
        <v>460</v>
      </c>
      <c r="B42" s="6" t="s">
        <v>436</v>
      </c>
      <c r="C42" s="6" t="s">
        <v>461</v>
      </c>
      <c r="D42" s="6" t="s">
        <v>462</v>
      </c>
      <c r="E42" s="6" t="s">
        <v>463</v>
      </c>
      <c r="F42" s="6" t="s">
        <v>143</v>
      </c>
      <c r="G42" s="6" t="s">
        <v>464</v>
      </c>
      <c r="H42" s="6" t="s">
        <v>450</v>
      </c>
      <c r="I42" s="6" t="s">
        <v>451</v>
      </c>
      <c r="J42" s="6"/>
      <c r="K42" s="6" t="s">
        <v>148</v>
      </c>
      <c r="L42" s="6" t="s">
        <v>83</v>
      </c>
      <c r="M42" s="6" t="s">
        <v>143</v>
      </c>
      <c r="N42" s="6" t="s">
        <v>149</v>
      </c>
      <c r="O42" s="6" t="s">
        <v>452</v>
      </c>
      <c r="P42" s="6" t="s">
        <v>465</v>
      </c>
      <c r="Q42" s="7" t="n">
        <f aca="false">IFERROR(INDEX(Wastage_Factors!$B$2:$B$60,MATCH(P42,Wastage_Factors!$A$2:$A$60,0)),0)</f>
        <v>0.15</v>
      </c>
      <c r="R42" s="6" t="s">
        <v>307</v>
      </c>
      <c r="S42" s="6" t="s">
        <v>99</v>
      </c>
      <c r="T42" s="6" t="s">
        <v>88</v>
      </c>
      <c r="U42" s="6" t="s">
        <v>83</v>
      </c>
      <c r="V42" s="6" t="s">
        <v>454</v>
      </c>
    </row>
    <row r="43" customFormat="false" ht="22.35" hidden="false" customHeight="false" outlineLevel="0" collapsed="false">
      <c r="A43" s="6" t="s">
        <v>466</v>
      </c>
      <c r="B43" s="6" t="s">
        <v>436</v>
      </c>
      <c r="C43" s="6" t="s">
        <v>467</v>
      </c>
      <c r="D43" s="6" t="s">
        <v>468</v>
      </c>
      <c r="E43" s="6" t="s">
        <v>469</v>
      </c>
      <c r="F43" s="6" t="s">
        <v>238</v>
      </c>
      <c r="G43" s="6" t="s">
        <v>470</v>
      </c>
      <c r="H43" s="6" t="s">
        <v>450</v>
      </c>
      <c r="I43" s="6" t="s">
        <v>451</v>
      </c>
      <c r="J43" s="6"/>
      <c r="K43" s="6" t="s">
        <v>148</v>
      </c>
      <c r="L43" s="6" t="s">
        <v>83</v>
      </c>
      <c r="M43" s="6" t="s">
        <v>238</v>
      </c>
      <c r="N43" s="6" t="s">
        <v>149</v>
      </c>
      <c r="O43" s="6" t="s">
        <v>452</v>
      </c>
      <c r="P43" s="6" t="s">
        <v>184</v>
      </c>
      <c r="Q43" s="7" t="n">
        <f aca="false">IFERROR(INDEX(Wastage_Factors!$B$2:$B$60,MATCH(P43,Wastage_Factors!$A$2:$A$60,0)),0)</f>
        <v>0.05</v>
      </c>
      <c r="R43" s="6" t="s">
        <v>307</v>
      </c>
      <c r="S43" s="6" t="s">
        <v>99</v>
      </c>
      <c r="T43" s="6" t="s">
        <v>88</v>
      </c>
      <c r="U43" s="6" t="s">
        <v>83</v>
      </c>
      <c r="V43" s="6" t="s">
        <v>454</v>
      </c>
    </row>
    <row r="44" customFormat="false" ht="22.35" hidden="false" customHeight="false" outlineLevel="0" collapsed="false">
      <c r="A44" s="6" t="s">
        <v>471</v>
      </c>
      <c r="B44" s="6" t="s">
        <v>436</v>
      </c>
      <c r="C44" s="6" t="s">
        <v>467</v>
      </c>
      <c r="D44" s="6" t="s">
        <v>472</v>
      </c>
      <c r="E44" s="6" t="s">
        <v>473</v>
      </c>
      <c r="F44" s="6" t="s">
        <v>176</v>
      </c>
      <c r="G44" s="6" t="s">
        <v>474</v>
      </c>
      <c r="H44" s="6" t="s">
        <v>475</v>
      </c>
      <c r="I44" s="6" t="s">
        <v>476</v>
      </c>
      <c r="J44" s="6"/>
      <c r="K44" s="6" t="s">
        <v>148</v>
      </c>
      <c r="L44" s="6" t="s">
        <v>83</v>
      </c>
      <c r="M44" s="6" t="s">
        <v>176</v>
      </c>
      <c r="N44" s="6" t="s">
        <v>149</v>
      </c>
      <c r="O44" s="6" t="s">
        <v>477</v>
      </c>
      <c r="P44" s="6" t="s">
        <v>184</v>
      </c>
      <c r="Q44" s="7" t="n">
        <f aca="false">IFERROR(INDEX(Wastage_Factors!$B$2:$B$60,MATCH(P44,Wastage_Factors!$A$2:$A$60,0)),0)</f>
        <v>0.05</v>
      </c>
      <c r="R44" s="6" t="s">
        <v>307</v>
      </c>
      <c r="S44" s="6" t="s">
        <v>99</v>
      </c>
      <c r="T44" s="6" t="s">
        <v>88</v>
      </c>
      <c r="U44" s="6" t="s">
        <v>83</v>
      </c>
      <c r="V44" s="6" t="s">
        <v>478</v>
      </c>
    </row>
    <row r="45" customFormat="false" ht="22.35" hidden="false" customHeight="false" outlineLevel="0" collapsed="false">
      <c r="A45" s="6" t="s">
        <v>479</v>
      </c>
      <c r="B45" s="6" t="s">
        <v>436</v>
      </c>
      <c r="C45" s="6" t="s">
        <v>480</v>
      </c>
      <c r="D45" s="6" t="s">
        <v>481</v>
      </c>
      <c r="E45" s="6" t="s">
        <v>482</v>
      </c>
      <c r="F45" s="6" t="s">
        <v>182</v>
      </c>
      <c r="G45" s="6" t="s">
        <v>483</v>
      </c>
      <c r="H45" s="6" t="s">
        <v>484</v>
      </c>
      <c r="I45" s="6" t="s">
        <v>485</v>
      </c>
      <c r="J45" s="6"/>
      <c r="K45" s="6" t="s">
        <v>148</v>
      </c>
      <c r="L45" s="6" t="s">
        <v>83</v>
      </c>
      <c r="M45" s="6" t="s">
        <v>182</v>
      </c>
      <c r="N45" s="6" t="s">
        <v>486</v>
      </c>
      <c r="O45" s="6"/>
      <c r="P45" s="6" t="s">
        <v>85</v>
      </c>
      <c r="Q45" s="7" t="n">
        <f aca="false">IFERROR(INDEX(Wastage_Factors!$B$2:$B$60,MATCH(P45,Wastage_Factors!$A$2:$A$60,0)),0)</f>
        <v>0</v>
      </c>
      <c r="R45" s="6" t="s">
        <v>324</v>
      </c>
      <c r="S45" s="6" t="s">
        <v>99</v>
      </c>
      <c r="T45" s="6" t="s">
        <v>88</v>
      </c>
      <c r="U45" s="6" t="s">
        <v>487</v>
      </c>
      <c r="V45" s="6"/>
    </row>
    <row r="46" customFormat="false" ht="22.35" hidden="false" customHeight="false" outlineLevel="0" collapsed="false">
      <c r="A46" s="6" t="s">
        <v>488</v>
      </c>
      <c r="B46" s="6" t="s">
        <v>436</v>
      </c>
      <c r="C46" s="6" t="s">
        <v>204</v>
      </c>
      <c r="D46" s="6" t="s">
        <v>489</v>
      </c>
      <c r="E46" s="6" t="s">
        <v>490</v>
      </c>
      <c r="F46" s="6" t="s">
        <v>182</v>
      </c>
      <c r="G46" s="6" t="s">
        <v>491</v>
      </c>
      <c r="H46" s="6" t="s">
        <v>441</v>
      </c>
      <c r="I46" s="6" t="s">
        <v>322</v>
      </c>
      <c r="J46" s="6"/>
      <c r="K46" s="6" t="s">
        <v>148</v>
      </c>
      <c r="L46" s="6" t="s">
        <v>83</v>
      </c>
      <c r="M46" s="6" t="s">
        <v>182</v>
      </c>
      <c r="N46" s="6" t="s">
        <v>149</v>
      </c>
      <c r="O46" s="6" t="s">
        <v>444</v>
      </c>
      <c r="P46" s="6" t="s">
        <v>210</v>
      </c>
      <c r="Q46" s="7" t="n">
        <f aca="false">IFERROR(INDEX(Wastage_Factors!$B$2:$B$60,MATCH(P46,Wastage_Factors!$A$2:$A$60,0)),0)</f>
        <v>0.05</v>
      </c>
      <c r="R46" s="6" t="s">
        <v>307</v>
      </c>
      <c r="S46" s="6" t="s">
        <v>87</v>
      </c>
      <c r="T46" s="6" t="s">
        <v>88</v>
      </c>
      <c r="U46" s="6" t="s">
        <v>83</v>
      </c>
      <c r="V46" s="6" t="s">
        <v>445</v>
      </c>
    </row>
    <row r="47" customFormat="false" ht="32.8" hidden="false" customHeight="false" outlineLevel="0" collapsed="false">
      <c r="A47" s="6" t="s">
        <v>492</v>
      </c>
      <c r="B47" s="6" t="s">
        <v>493</v>
      </c>
      <c r="C47" s="6" t="s">
        <v>494</v>
      </c>
      <c r="D47" s="6" t="s">
        <v>495</v>
      </c>
      <c r="E47" s="6" t="s">
        <v>496</v>
      </c>
      <c r="F47" s="6" t="s">
        <v>115</v>
      </c>
      <c r="G47" s="6" t="s">
        <v>497</v>
      </c>
      <c r="H47" s="6" t="s">
        <v>498</v>
      </c>
      <c r="I47" s="6" t="s">
        <v>499</v>
      </c>
      <c r="J47" s="6" t="s">
        <v>500</v>
      </c>
      <c r="K47" s="6" t="s">
        <v>148</v>
      </c>
      <c r="L47" s="6" t="s">
        <v>501</v>
      </c>
      <c r="M47" s="6" t="s">
        <v>115</v>
      </c>
      <c r="N47" s="6" t="s">
        <v>149</v>
      </c>
      <c r="O47" s="6" t="s">
        <v>502</v>
      </c>
      <c r="P47" s="6" t="s">
        <v>503</v>
      </c>
      <c r="Q47" s="7" t="n">
        <f aca="false">IFERROR(INDEX(Wastage_Factors!$B$2:$B$60,MATCH(P47,Wastage_Factors!$A$2:$A$60,0)),0)</f>
        <v>0.05</v>
      </c>
      <c r="R47" s="6" t="s">
        <v>284</v>
      </c>
      <c r="S47" s="6" t="s">
        <v>99</v>
      </c>
      <c r="T47" s="6" t="s">
        <v>225</v>
      </c>
      <c r="U47" s="6" t="s">
        <v>504</v>
      </c>
      <c r="V47" s="6" t="s">
        <v>505</v>
      </c>
    </row>
    <row r="48" customFormat="false" ht="22.35" hidden="false" customHeight="false" outlineLevel="0" collapsed="false">
      <c r="A48" s="6" t="s">
        <v>506</v>
      </c>
      <c r="B48" s="6" t="s">
        <v>493</v>
      </c>
      <c r="C48" s="6" t="s">
        <v>494</v>
      </c>
      <c r="D48" s="6" t="s">
        <v>507</v>
      </c>
      <c r="E48" s="6" t="s">
        <v>508</v>
      </c>
      <c r="F48" s="6" t="s">
        <v>115</v>
      </c>
      <c r="G48" s="6" t="s">
        <v>509</v>
      </c>
      <c r="H48" s="6" t="s">
        <v>510</v>
      </c>
      <c r="I48" s="6" t="s">
        <v>169</v>
      </c>
      <c r="J48" s="6" t="s">
        <v>511</v>
      </c>
      <c r="K48" s="6" t="s">
        <v>148</v>
      </c>
      <c r="L48" s="6" t="s">
        <v>83</v>
      </c>
      <c r="M48" s="6" t="s">
        <v>115</v>
      </c>
      <c r="N48" s="6" t="s">
        <v>149</v>
      </c>
      <c r="O48" s="6" t="s">
        <v>512</v>
      </c>
      <c r="P48" s="6" t="s">
        <v>503</v>
      </c>
      <c r="Q48" s="7" t="n">
        <f aca="false">IFERROR(INDEX(Wastage_Factors!$B$2:$B$60,MATCH(P48,Wastage_Factors!$A$2:$A$60,0)),0)</f>
        <v>0.05</v>
      </c>
      <c r="R48" s="6" t="s">
        <v>132</v>
      </c>
      <c r="S48" s="6" t="s">
        <v>99</v>
      </c>
      <c r="T48" s="6" t="s">
        <v>88</v>
      </c>
      <c r="U48" s="6" t="s">
        <v>83</v>
      </c>
      <c r="V48" s="6" t="s">
        <v>513</v>
      </c>
    </row>
    <row r="49" customFormat="false" ht="22.35" hidden="false" customHeight="false" outlineLevel="0" collapsed="false">
      <c r="A49" s="6" t="s">
        <v>514</v>
      </c>
      <c r="B49" s="6" t="s">
        <v>493</v>
      </c>
      <c r="C49" s="6" t="s">
        <v>515</v>
      </c>
      <c r="D49" s="6" t="s">
        <v>516</v>
      </c>
      <c r="E49" s="6" t="s">
        <v>517</v>
      </c>
      <c r="F49" s="6" t="s">
        <v>115</v>
      </c>
      <c r="G49" s="6" t="s">
        <v>518</v>
      </c>
      <c r="H49" s="6" t="s">
        <v>519</v>
      </c>
      <c r="I49" s="6" t="s">
        <v>520</v>
      </c>
      <c r="J49" s="6"/>
      <c r="K49" s="6" t="s">
        <v>242</v>
      </c>
      <c r="L49" s="6" t="s">
        <v>83</v>
      </c>
      <c r="M49" s="6" t="s">
        <v>115</v>
      </c>
      <c r="N49" s="6" t="s">
        <v>149</v>
      </c>
      <c r="O49" s="6" t="s">
        <v>521</v>
      </c>
      <c r="P49" s="6" t="s">
        <v>522</v>
      </c>
      <c r="Q49" s="7" t="n">
        <f aca="false">IFERROR(INDEX(Wastage_Factors!$B$2:$B$60,MATCH(P49,Wastage_Factors!$A$2:$A$60,0)),0)</f>
        <v>0.07</v>
      </c>
      <c r="R49" s="6" t="s">
        <v>523</v>
      </c>
      <c r="S49" s="6" t="s">
        <v>99</v>
      </c>
      <c r="T49" s="6" t="s">
        <v>88</v>
      </c>
      <c r="U49" s="6" t="s">
        <v>83</v>
      </c>
      <c r="V49" s="6" t="s">
        <v>524</v>
      </c>
    </row>
    <row r="50" customFormat="false" ht="22.35" hidden="false" customHeight="false" outlineLevel="0" collapsed="false">
      <c r="A50" s="6" t="s">
        <v>525</v>
      </c>
      <c r="B50" s="6" t="s">
        <v>493</v>
      </c>
      <c r="C50" s="6" t="s">
        <v>526</v>
      </c>
      <c r="D50" s="6" t="s">
        <v>527</v>
      </c>
      <c r="E50" s="6" t="s">
        <v>528</v>
      </c>
      <c r="F50" s="6" t="s">
        <v>115</v>
      </c>
      <c r="G50" s="6" t="s">
        <v>529</v>
      </c>
      <c r="H50" s="6" t="s">
        <v>530</v>
      </c>
      <c r="I50" s="6" t="s">
        <v>531</v>
      </c>
      <c r="J50" s="6"/>
      <c r="K50" s="6" t="s">
        <v>242</v>
      </c>
      <c r="L50" s="6" t="s">
        <v>532</v>
      </c>
      <c r="M50" s="6" t="s">
        <v>182</v>
      </c>
      <c r="N50" s="6" t="s">
        <v>149</v>
      </c>
      <c r="O50" s="6" t="s">
        <v>533</v>
      </c>
      <c r="P50" s="6" t="s">
        <v>534</v>
      </c>
      <c r="Q50" s="7" t="n">
        <f aca="false">IFERROR(INDEX(Wastage_Factors!$B$2:$B$60,MATCH(P50,Wastage_Factors!$A$2:$A$60,0)),0)</f>
        <v>0.03</v>
      </c>
      <c r="R50" s="6" t="s">
        <v>307</v>
      </c>
      <c r="S50" s="6" t="s">
        <v>535</v>
      </c>
      <c r="T50" s="6" t="s">
        <v>88</v>
      </c>
      <c r="U50" s="6" t="s">
        <v>83</v>
      </c>
      <c r="V50" s="6"/>
    </row>
    <row r="51" customFormat="false" ht="22.35" hidden="false" customHeight="false" outlineLevel="0" collapsed="false">
      <c r="A51" s="6" t="s">
        <v>536</v>
      </c>
      <c r="B51" s="6" t="s">
        <v>493</v>
      </c>
      <c r="C51" s="6" t="s">
        <v>526</v>
      </c>
      <c r="D51" s="6" t="s">
        <v>537</v>
      </c>
      <c r="E51" s="6" t="s">
        <v>538</v>
      </c>
      <c r="F51" s="6" t="s">
        <v>143</v>
      </c>
      <c r="G51" s="6" t="s">
        <v>539</v>
      </c>
      <c r="H51" s="6" t="s">
        <v>540</v>
      </c>
      <c r="I51" s="6" t="s">
        <v>531</v>
      </c>
      <c r="J51" s="6" t="s">
        <v>541</v>
      </c>
      <c r="K51" s="6" t="s">
        <v>242</v>
      </c>
      <c r="L51" s="6" t="s">
        <v>542</v>
      </c>
      <c r="M51" s="6" t="s">
        <v>182</v>
      </c>
      <c r="N51" s="6" t="s">
        <v>543</v>
      </c>
      <c r="O51" s="6"/>
      <c r="P51" s="6" t="s">
        <v>534</v>
      </c>
      <c r="Q51" s="7" t="n">
        <f aca="false">IFERROR(INDEX(Wastage_Factors!$B$2:$B$60,MATCH(P51,Wastage_Factors!$A$2:$A$60,0)),0)</f>
        <v>0.03</v>
      </c>
      <c r="R51" s="6" t="s">
        <v>307</v>
      </c>
      <c r="S51" s="6" t="s">
        <v>535</v>
      </c>
      <c r="T51" s="6" t="s">
        <v>88</v>
      </c>
      <c r="U51" s="6" t="s">
        <v>83</v>
      </c>
      <c r="V51" s="6"/>
    </row>
    <row r="52" customFormat="false" ht="22.35" hidden="false" customHeight="false" outlineLevel="0" collapsed="false">
      <c r="A52" s="6" t="s">
        <v>544</v>
      </c>
      <c r="B52" s="6" t="s">
        <v>493</v>
      </c>
      <c r="C52" s="6" t="s">
        <v>545</v>
      </c>
      <c r="D52" s="6" t="s">
        <v>546</v>
      </c>
      <c r="E52" s="6" t="s">
        <v>547</v>
      </c>
      <c r="F52" s="6" t="s">
        <v>216</v>
      </c>
      <c r="G52" s="6" t="s">
        <v>548</v>
      </c>
      <c r="H52" s="6" t="s">
        <v>549</v>
      </c>
      <c r="I52" s="6" t="s">
        <v>531</v>
      </c>
      <c r="J52" s="6" t="s">
        <v>550</v>
      </c>
      <c r="K52" s="6" t="s">
        <v>242</v>
      </c>
      <c r="L52" s="6" t="s">
        <v>83</v>
      </c>
      <c r="M52" s="6" t="s">
        <v>182</v>
      </c>
      <c r="N52" s="6" t="s">
        <v>551</v>
      </c>
      <c r="O52" s="6"/>
      <c r="P52" s="6" t="s">
        <v>552</v>
      </c>
      <c r="Q52" s="7" t="n">
        <f aca="false">IFERROR(INDEX(Wastage_Factors!$B$2:$B$60,MATCH(P52,Wastage_Factors!$A$2:$A$60,0)),0)</f>
        <v>0.05</v>
      </c>
      <c r="R52" s="6" t="s">
        <v>307</v>
      </c>
      <c r="S52" s="6" t="s">
        <v>535</v>
      </c>
      <c r="T52" s="6" t="s">
        <v>88</v>
      </c>
      <c r="U52" s="6" t="s">
        <v>83</v>
      </c>
      <c r="V52" s="6"/>
    </row>
    <row r="53" customFormat="false" ht="22.35" hidden="false" customHeight="false" outlineLevel="0" collapsed="false">
      <c r="A53" s="6" t="s">
        <v>553</v>
      </c>
      <c r="B53" s="6" t="s">
        <v>493</v>
      </c>
      <c r="C53" s="6" t="s">
        <v>554</v>
      </c>
      <c r="D53" s="6" t="s">
        <v>555</v>
      </c>
      <c r="E53" s="6" t="s">
        <v>556</v>
      </c>
      <c r="F53" s="6" t="s">
        <v>238</v>
      </c>
      <c r="G53" s="6" t="s">
        <v>557</v>
      </c>
      <c r="H53" s="6" t="s">
        <v>558</v>
      </c>
      <c r="I53" s="6" t="s">
        <v>531</v>
      </c>
      <c r="J53" s="6"/>
      <c r="K53" s="6" t="s">
        <v>148</v>
      </c>
      <c r="L53" s="6" t="s">
        <v>83</v>
      </c>
      <c r="M53" s="6" t="s">
        <v>77</v>
      </c>
      <c r="N53" s="6" t="s">
        <v>559</v>
      </c>
      <c r="O53" s="6"/>
      <c r="P53" s="6" t="s">
        <v>364</v>
      </c>
      <c r="Q53" s="7" t="n">
        <f aca="false">IFERROR(INDEX(Wastage_Factors!$B$2:$B$60,MATCH(P53,Wastage_Factors!$A$2:$A$60,0)),0)</f>
        <v>0.03</v>
      </c>
      <c r="R53" s="6" t="s">
        <v>307</v>
      </c>
      <c r="S53" s="6" t="s">
        <v>122</v>
      </c>
      <c r="T53" s="6" t="s">
        <v>88</v>
      </c>
      <c r="U53" s="6" t="s">
        <v>83</v>
      </c>
      <c r="V53" s="6"/>
    </row>
    <row r="54" customFormat="false" ht="15" hidden="false" customHeight="false" outlineLevel="0" collapsed="false">
      <c r="A54" s="6" t="s">
        <v>560</v>
      </c>
      <c r="B54" s="6" t="s">
        <v>493</v>
      </c>
      <c r="C54" s="6" t="s">
        <v>561</v>
      </c>
      <c r="D54" s="6" t="s">
        <v>562</v>
      </c>
      <c r="E54" s="6" t="s">
        <v>563</v>
      </c>
      <c r="F54" s="6" t="s">
        <v>115</v>
      </c>
      <c r="G54" s="6" t="s">
        <v>564</v>
      </c>
      <c r="H54" s="6" t="s">
        <v>565</v>
      </c>
      <c r="I54" s="6" t="s">
        <v>566</v>
      </c>
      <c r="J54" s="6"/>
      <c r="K54" s="6" t="s">
        <v>567</v>
      </c>
      <c r="L54" s="6" t="s">
        <v>83</v>
      </c>
      <c r="M54" s="6" t="s">
        <v>115</v>
      </c>
      <c r="N54" s="6" t="s">
        <v>568</v>
      </c>
      <c r="O54" s="6"/>
      <c r="P54" s="6" t="s">
        <v>503</v>
      </c>
      <c r="Q54" s="7" t="n">
        <f aca="false">IFERROR(INDEX(Wastage_Factors!$B$2:$B$60,MATCH(P54,Wastage_Factors!$A$2:$A$60,0)),0)</f>
        <v>0.05</v>
      </c>
      <c r="R54" s="6" t="s">
        <v>202</v>
      </c>
      <c r="S54" s="6" t="s">
        <v>87</v>
      </c>
      <c r="T54" s="6" t="s">
        <v>88</v>
      </c>
      <c r="U54" s="6" t="s">
        <v>83</v>
      </c>
      <c r="V54" s="6"/>
    </row>
    <row r="55" customFormat="false" ht="22.35" hidden="false" customHeight="false" outlineLevel="0" collapsed="false">
      <c r="A55" s="6" t="s">
        <v>569</v>
      </c>
      <c r="B55" s="6" t="s">
        <v>493</v>
      </c>
      <c r="C55" s="6" t="s">
        <v>570</v>
      </c>
      <c r="D55" s="6" t="s">
        <v>571</v>
      </c>
      <c r="E55" s="6" t="s">
        <v>572</v>
      </c>
      <c r="F55" s="6" t="s">
        <v>182</v>
      </c>
      <c r="G55" s="6" t="s">
        <v>573</v>
      </c>
      <c r="H55" s="6" t="s">
        <v>574</v>
      </c>
      <c r="I55" s="6" t="s">
        <v>485</v>
      </c>
      <c r="J55" s="6" t="s">
        <v>575</v>
      </c>
      <c r="K55" s="6" t="s">
        <v>242</v>
      </c>
      <c r="L55" s="6" t="s">
        <v>83</v>
      </c>
      <c r="M55" s="6" t="s">
        <v>182</v>
      </c>
      <c r="N55" s="6" t="s">
        <v>576</v>
      </c>
      <c r="O55" s="6"/>
      <c r="P55" s="6" t="s">
        <v>577</v>
      </c>
      <c r="Q55" s="7" t="n">
        <f aca="false">IFERROR(INDEX(Wastage_Factors!$B$2:$B$60,MATCH(P55,Wastage_Factors!$A$2:$A$60,0)),0)</f>
        <v>0.08</v>
      </c>
      <c r="R55" s="6" t="s">
        <v>244</v>
      </c>
      <c r="S55" s="6" t="s">
        <v>87</v>
      </c>
      <c r="T55" s="6" t="s">
        <v>109</v>
      </c>
      <c r="U55" s="6" t="s">
        <v>578</v>
      </c>
      <c r="V55" s="6"/>
    </row>
    <row r="56" customFormat="false" ht="22.35" hidden="false" customHeight="false" outlineLevel="0" collapsed="false">
      <c r="A56" s="6" t="s">
        <v>579</v>
      </c>
      <c r="B56" s="6" t="s">
        <v>493</v>
      </c>
      <c r="C56" s="6" t="s">
        <v>570</v>
      </c>
      <c r="D56" s="6" t="s">
        <v>580</v>
      </c>
      <c r="E56" s="6" t="s">
        <v>581</v>
      </c>
      <c r="F56" s="6" t="s">
        <v>182</v>
      </c>
      <c r="G56" s="6" t="s">
        <v>582</v>
      </c>
      <c r="H56" s="6" t="s">
        <v>574</v>
      </c>
      <c r="I56" s="6" t="s">
        <v>485</v>
      </c>
      <c r="J56" s="6"/>
      <c r="K56" s="6" t="s">
        <v>242</v>
      </c>
      <c r="L56" s="6" t="s">
        <v>83</v>
      </c>
      <c r="M56" s="6" t="s">
        <v>182</v>
      </c>
      <c r="N56" s="6" t="s">
        <v>583</v>
      </c>
      <c r="O56" s="6"/>
      <c r="P56" s="6" t="s">
        <v>584</v>
      </c>
      <c r="Q56" s="7" t="n">
        <f aca="false">IFERROR(INDEX(Wastage_Factors!$B$2:$B$60,MATCH(P56,Wastage_Factors!$A$2:$A$60,0)),0)</f>
        <v>0.1</v>
      </c>
      <c r="R56" s="6" t="s">
        <v>244</v>
      </c>
      <c r="S56" s="6" t="s">
        <v>87</v>
      </c>
      <c r="T56" s="6" t="s">
        <v>109</v>
      </c>
      <c r="U56" s="6" t="s">
        <v>585</v>
      </c>
      <c r="V56" s="6"/>
    </row>
    <row r="57" customFormat="false" ht="22.35" hidden="false" customHeight="false" outlineLevel="0" collapsed="false">
      <c r="A57" s="6" t="s">
        <v>586</v>
      </c>
      <c r="B57" s="6" t="s">
        <v>493</v>
      </c>
      <c r="C57" s="6" t="s">
        <v>334</v>
      </c>
      <c r="D57" s="6" t="s">
        <v>587</v>
      </c>
      <c r="E57" s="6" t="s">
        <v>588</v>
      </c>
      <c r="F57" s="6" t="s">
        <v>77</v>
      </c>
      <c r="G57" s="6" t="s">
        <v>589</v>
      </c>
      <c r="H57" s="6" t="s">
        <v>590</v>
      </c>
      <c r="I57" s="6" t="s">
        <v>531</v>
      </c>
      <c r="J57" s="6" t="s">
        <v>591</v>
      </c>
      <c r="K57" s="6" t="s">
        <v>242</v>
      </c>
      <c r="L57" s="6" t="s">
        <v>83</v>
      </c>
      <c r="M57" s="6" t="s">
        <v>77</v>
      </c>
      <c r="N57" s="6" t="s">
        <v>149</v>
      </c>
      <c r="O57" s="6" t="s">
        <v>592</v>
      </c>
      <c r="P57" s="6" t="s">
        <v>184</v>
      </c>
      <c r="Q57" s="7" t="n">
        <f aca="false">IFERROR(INDEX(Wastage_Factors!$B$2:$B$60,MATCH(P57,Wastage_Factors!$A$2:$A$60,0)),0)</f>
        <v>0.05</v>
      </c>
      <c r="R57" s="6" t="s">
        <v>324</v>
      </c>
      <c r="S57" s="6" t="s">
        <v>122</v>
      </c>
      <c r="T57" s="6" t="s">
        <v>88</v>
      </c>
      <c r="U57" s="6" t="s">
        <v>83</v>
      </c>
      <c r="V57" s="6" t="s">
        <v>593</v>
      </c>
    </row>
    <row r="58" customFormat="false" ht="22.35" hidden="false" customHeight="false" outlineLevel="0" collapsed="false">
      <c r="A58" s="6" t="s">
        <v>594</v>
      </c>
      <c r="B58" s="6" t="s">
        <v>493</v>
      </c>
      <c r="C58" s="6" t="s">
        <v>595</v>
      </c>
      <c r="D58" s="6" t="s">
        <v>596</v>
      </c>
      <c r="E58" s="6" t="s">
        <v>597</v>
      </c>
      <c r="F58" s="6" t="s">
        <v>77</v>
      </c>
      <c r="G58" s="6" t="s">
        <v>598</v>
      </c>
      <c r="H58" s="6" t="s">
        <v>599</v>
      </c>
      <c r="I58" s="6" t="s">
        <v>600</v>
      </c>
      <c r="J58" s="6"/>
      <c r="K58" s="6" t="s">
        <v>567</v>
      </c>
      <c r="L58" s="6" t="s">
        <v>83</v>
      </c>
      <c r="M58" s="6" t="s">
        <v>77</v>
      </c>
      <c r="N58" s="6" t="s">
        <v>601</v>
      </c>
      <c r="O58" s="6"/>
      <c r="P58" s="6" t="s">
        <v>184</v>
      </c>
      <c r="Q58" s="7" t="n">
        <f aca="false">IFERROR(INDEX(Wastage_Factors!$B$2:$B$60,MATCH(P58,Wastage_Factors!$A$2:$A$60,0)),0)</f>
        <v>0.05</v>
      </c>
      <c r="R58" s="6" t="s">
        <v>523</v>
      </c>
      <c r="S58" s="6" t="s">
        <v>122</v>
      </c>
      <c r="T58" s="6" t="s">
        <v>88</v>
      </c>
      <c r="U58" s="6" t="s">
        <v>585</v>
      </c>
      <c r="V58" s="6"/>
    </row>
    <row r="59" customFormat="false" ht="22.35" hidden="false" customHeight="false" outlineLevel="0" collapsed="false">
      <c r="A59" s="6" t="s">
        <v>602</v>
      </c>
      <c r="B59" s="6" t="s">
        <v>603</v>
      </c>
      <c r="C59" s="6" t="s">
        <v>604</v>
      </c>
      <c r="D59" s="6" t="s">
        <v>605</v>
      </c>
      <c r="E59" s="6" t="s">
        <v>606</v>
      </c>
      <c r="F59" s="6" t="s">
        <v>238</v>
      </c>
      <c r="G59" s="6" t="s">
        <v>607</v>
      </c>
      <c r="H59" s="6" t="s">
        <v>608</v>
      </c>
      <c r="I59" s="6" t="s">
        <v>609</v>
      </c>
      <c r="J59" s="6" t="s">
        <v>610</v>
      </c>
      <c r="K59" s="6" t="s">
        <v>242</v>
      </c>
      <c r="L59" s="6" t="s">
        <v>611</v>
      </c>
      <c r="M59" s="6" t="s">
        <v>182</v>
      </c>
      <c r="N59" s="6" t="s">
        <v>149</v>
      </c>
      <c r="O59" s="6" t="s">
        <v>612</v>
      </c>
      <c r="P59" s="6" t="s">
        <v>613</v>
      </c>
      <c r="Q59" s="7" t="n">
        <f aca="false">IFERROR(INDEX(Wastage_Factors!$B$2:$B$60,MATCH(P59,Wastage_Factors!$A$2:$A$60,0)),0)</f>
        <v>0.05</v>
      </c>
      <c r="R59" s="6" t="s">
        <v>614</v>
      </c>
      <c r="S59" s="6" t="s">
        <v>99</v>
      </c>
      <c r="T59" s="6" t="s">
        <v>225</v>
      </c>
      <c r="U59" s="6" t="s">
        <v>615</v>
      </c>
      <c r="V59" s="6" t="s">
        <v>616</v>
      </c>
    </row>
    <row r="60" customFormat="false" ht="22.35" hidden="false" customHeight="false" outlineLevel="0" collapsed="false">
      <c r="A60" s="6" t="s">
        <v>617</v>
      </c>
      <c r="B60" s="6" t="s">
        <v>603</v>
      </c>
      <c r="C60" s="6" t="s">
        <v>604</v>
      </c>
      <c r="D60" s="6" t="s">
        <v>618</v>
      </c>
      <c r="E60" s="6" t="s">
        <v>619</v>
      </c>
      <c r="F60" s="6" t="s">
        <v>620</v>
      </c>
      <c r="G60" s="6" t="s">
        <v>621</v>
      </c>
      <c r="H60" s="6" t="s">
        <v>519</v>
      </c>
      <c r="I60" s="6" t="s">
        <v>520</v>
      </c>
      <c r="J60" s="6"/>
      <c r="K60" s="6" t="s">
        <v>242</v>
      </c>
      <c r="L60" s="6" t="s">
        <v>622</v>
      </c>
      <c r="M60" s="6" t="s">
        <v>182</v>
      </c>
      <c r="N60" s="6" t="s">
        <v>149</v>
      </c>
      <c r="O60" s="6" t="s">
        <v>521</v>
      </c>
      <c r="P60" s="6" t="s">
        <v>623</v>
      </c>
      <c r="Q60" s="7" t="n">
        <f aca="false">IFERROR(INDEX(Wastage_Factors!$B$2:$B$60,MATCH(P60,Wastage_Factors!$A$2:$A$60,0)),0)</f>
        <v>0.05</v>
      </c>
      <c r="R60" s="6" t="s">
        <v>523</v>
      </c>
      <c r="S60" s="6" t="s">
        <v>99</v>
      </c>
      <c r="T60" s="6" t="s">
        <v>88</v>
      </c>
      <c r="U60" s="6" t="s">
        <v>83</v>
      </c>
      <c r="V60" s="6" t="s">
        <v>524</v>
      </c>
    </row>
    <row r="61" customFormat="false" ht="22.35" hidden="false" customHeight="false" outlineLevel="0" collapsed="false">
      <c r="A61" s="6" t="s">
        <v>624</v>
      </c>
      <c r="B61" s="6" t="s">
        <v>603</v>
      </c>
      <c r="C61" s="6" t="s">
        <v>204</v>
      </c>
      <c r="D61" s="6" t="s">
        <v>625</v>
      </c>
      <c r="E61" s="6" t="s">
        <v>626</v>
      </c>
      <c r="F61" s="6" t="s">
        <v>182</v>
      </c>
      <c r="G61" s="6" t="s">
        <v>627</v>
      </c>
      <c r="H61" s="6" t="s">
        <v>608</v>
      </c>
      <c r="I61" s="6" t="s">
        <v>609</v>
      </c>
      <c r="J61" s="6" t="s">
        <v>628</v>
      </c>
      <c r="K61" s="6" t="s">
        <v>242</v>
      </c>
      <c r="L61" s="6" t="s">
        <v>83</v>
      </c>
      <c r="M61" s="6" t="s">
        <v>182</v>
      </c>
      <c r="N61" s="6" t="s">
        <v>149</v>
      </c>
      <c r="O61" s="6" t="s">
        <v>612</v>
      </c>
      <c r="P61" s="6" t="s">
        <v>210</v>
      </c>
      <c r="Q61" s="7" t="n">
        <f aca="false">IFERROR(INDEX(Wastage_Factors!$B$2:$B$60,MATCH(P61,Wastage_Factors!$A$2:$A$60,0)),0)</f>
        <v>0.05</v>
      </c>
      <c r="R61" s="6" t="s">
        <v>614</v>
      </c>
      <c r="S61" s="6" t="s">
        <v>99</v>
      </c>
      <c r="T61" s="6" t="s">
        <v>225</v>
      </c>
      <c r="U61" s="6" t="s">
        <v>629</v>
      </c>
      <c r="V61" s="6" t="s">
        <v>616</v>
      </c>
    </row>
    <row r="62" customFormat="false" ht="22.35" hidden="false" customHeight="false" outlineLevel="0" collapsed="false">
      <c r="A62" s="6" t="s">
        <v>630</v>
      </c>
      <c r="B62" s="6" t="s">
        <v>603</v>
      </c>
      <c r="C62" s="6" t="s">
        <v>631</v>
      </c>
      <c r="D62" s="6" t="s">
        <v>632</v>
      </c>
      <c r="E62" s="6" t="s">
        <v>633</v>
      </c>
      <c r="F62" s="6" t="s">
        <v>238</v>
      </c>
      <c r="G62" s="6" t="s">
        <v>634</v>
      </c>
      <c r="H62" s="6" t="s">
        <v>635</v>
      </c>
      <c r="I62" s="6" t="s">
        <v>636</v>
      </c>
      <c r="J62" s="6" t="s">
        <v>637</v>
      </c>
      <c r="K62" s="6" t="s">
        <v>242</v>
      </c>
      <c r="L62" s="6" t="s">
        <v>638</v>
      </c>
      <c r="M62" s="6" t="s">
        <v>182</v>
      </c>
      <c r="N62" s="6" t="s">
        <v>149</v>
      </c>
      <c r="O62" s="6" t="s">
        <v>639</v>
      </c>
      <c r="P62" s="6" t="s">
        <v>184</v>
      </c>
      <c r="Q62" s="7" t="n">
        <f aca="false">IFERROR(INDEX(Wastage_Factors!$B$2:$B$60,MATCH(P62,Wastage_Factors!$A$2:$A$60,0)),0)</f>
        <v>0.05</v>
      </c>
      <c r="R62" s="6" t="s">
        <v>324</v>
      </c>
      <c r="S62" s="6" t="s">
        <v>99</v>
      </c>
      <c r="T62" s="6" t="s">
        <v>88</v>
      </c>
      <c r="U62" s="6" t="s">
        <v>640</v>
      </c>
      <c r="V62" s="6" t="s">
        <v>641</v>
      </c>
    </row>
    <row r="63" customFormat="false" ht="22.35" hidden="false" customHeight="false" outlineLevel="0" collapsed="false">
      <c r="A63" s="6" t="s">
        <v>642</v>
      </c>
      <c r="B63" s="6" t="s">
        <v>603</v>
      </c>
      <c r="C63" s="6" t="s">
        <v>204</v>
      </c>
      <c r="D63" s="6" t="s">
        <v>643</v>
      </c>
      <c r="E63" s="6" t="s">
        <v>644</v>
      </c>
      <c r="F63" s="6" t="s">
        <v>182</v>
      </c>
      <c r="G63" s="6" t="s">
        <v>645</v>
      </c>
      <c r="H63" s="6" t="s">
        <v>646</v>
      </c>
      <c r="I63" s="6" t="s">
        <v>520</v>
      </c>
      <c r="J63" s="6" t="s">
        <v>647</v>
      </c>
      <c r="K63" s="6" t="s">
        <v>242</v>
      </c>
      <c r="L63" s="6" t="s">
        <v>648</v>
      </c>
      <c r="M63" s="6" t="s">
        <v>182</v>
      </c>
      <c r="N63" s="6" t="s">
        <v>149</v>
      </c>
      <c r="O63" s="6" t="s">
        <v>649</v>
      </c>
      <c r="P63" s="6" t="s">
        <v>210</v>
      </c>
      <c r="Q63" s="7" t="n">
        <f aca="false">IFERROR(INDEX(Wastage_Factors!$B$2:$B$60,MATCH(P63,Wastage_Factors!$A$2:$A$60,0)),0)</f>
        <v>0.05</v>
      </c>
      <c r="R63" s="6" t="s">
        <v>523</v>
      </c>
      <c r="S63" s="6" t="s">
        <v>535</v>
      </c>
      <c r="T63" s="6" t="s">
        <v>88</v>
      </c>
      <c r="U63" s="6" t="s">
        <v>83</v>
      </c>
      <c r="V63" s="6" t="s">
        <v>641</v>
      </c>
    </row>
    <row r="64" customFormat="false" ht="22.35" hidden="false" customHeight="false" outlineLevel="0" collapsed="false">
      <c r="A64" s="6" t="s">
        <v>650</v>
      </c>
      <c r="B64" s="6" t="s">
        <v>603</v>
      </c>
      <c r="C64" s="6" t="s">
        <v>651</v>
      </c>
      <c r="D64" s="6" t="s">
        <v>652</v>
      </c>
      <c r="E64" s="6" t="s">
        <v>653</v>
      </c>
      <c r="F64" s="6" t="s">
        <v>176</v>
      </c>
      <c r="G64" s="6" t="s">
        <v>654</v>
      </c>
      <c r="H64" s="6" t="s">
        <v>655</v>
      </c>
      <c r="I64" s="6" t="s">
        <v>520</v>
      </c>
      <c r="J64" s="6"/>
      <c r="K64" s="6" t="s">
        <v>242</v>
      </c>
      <c r="L64" s="6" t="s">
        <v>83</v>
      </c>
      <c r="M64" s="6" t="s">
        <v>182</v>
      </c>
      <c r="N64" s="6" t="s">
        <v>656</v>
      </c>
      <c r="O64" s="6"/>
      <c r="P64" s="6" t="s">
        <v>623</v>
      </c>
      <c r="Q64" s="7" t="n">
        <f aca="false">IFERROR(INDEX(Wastage_Factors!$B$2:$B$60,MATCH(P64,Wastage_Factors!$A$2:$A$60,0)),0)</f>
        <v>0.05</v>
      </c>
      <c r="R64" s="6" t="s">
        <v>523</v>
      </c>
      <c r="S64" s="6" t="s">
        <v>535</v>
      </c>
      <c r="T64" s="6" t="s">
        <v>88</v>
      </c>
      <c r="U64" s="6" t="s">
        <v>83</v>
      </c>
      <c r="V64" s="6"/>
    </row>
    <row r="65" customFormat="false" ht="22.35" hidden="false" customHeight="false" outlineLevel="0" collapsed="false">
      <c r="A65" s="6" t="s">
        <v>657</v>
      </c>
      <c r="B65" s="6" t="s">
        <v>603</v>
      </c>
      <c r="C65" s="6" t="s">
        <v>309</v>
      </c>
      <c r="D65" s="6" t="s">
        <v>658</v>
      </c>
      <c r="E65" s="6" t="s">
        <v>659</v>
      </c>
      <c r="F65" s="6" t="s">
        <v>238</v>
      </c>
      <c r="G65" s="6" t="s">
        <v>660</v>
      </c>
      <c r="H65" s="6" t="s">
        <v>661</v>
      </c>
      <c r="I65" s="6" t="s">
        <v>662</v>
      </c>
      <c r="J65" s="6"/>
      <c r="K65" s="6" t="s">
        <v>242</v>
      </c>
      <c r="L65" s="6" t="s">
        <v>83</v>
      </c>
      <c r="M65" s="6" t="s">
        <v>238</v>
      </c>
      <c r="N65" s="6" t="s">
        <v>149</v>
      </c>
      <c r="O65" s="6" t="s">
        <v>663</v>
      </c>
      <c r="P65" s="6" t="s">
        <v>184</v>
      </c>
      <c r="Q65" s="7" t="n">
        <f aca="false">IFERROR(INDEX(Wastage_Factors!$B$2:$B$60,MATCH(P65,Wastage_Factors!$A$2:$A$60,0)),0)</f>
        <v>0.05</v>
      </c>
      <c r="R65" s="6" t="s">
        <v>132</v>
      </c>
      <c r="S65" s="6" t="s">
        <v>99</v>
      </c>
      <c r="T65" s="6" t="s">
        <v>225</v>
      </c>
      <c r="U65" s="6" t="s">
        <v>664</v>
      </c>
      <c r="V65" s="6" t="s">
        <v>665</v>
      </c>
    </row>
    <row r="66" customFormat="false" ht="22.35" hidden="false" customHeight="false" outlineLevel="0" collapsed="false">
      <c r="A66" s="6" t="s">
        <v>666</v>
      </c>
      <c r="B66" s="6" t="s">
        <v>603</v>
      </c>
      <c r="C66" s="6" t="s">
        <v>667</v>
      </c>
      <c r="D66" s="6" t="s">
        <v>668</v>
      </c>
      <c r="E66" s="6" t="s">
        <v>669</v>
      </c>
      <c r="F66" s="6" t="s">
        <v>182</v>
      </c>
      <c r="G66" s="6" t="s">
        <v>670</v>
      </c>
      <c r="H66" s="6" t="s">
        <v>646</v>
      </c>
      <c r="I66" s="6" t="s">
        <v>520</v>
      </c>
      <c r="J66" s="6" t="s">
        <v>671</v>
      </c>
      <c r="K66" s="6" t="s">
        <v>242</v>
      </c>
      <c r="L66" s="6" t="s">
        <v>83</v>
      </c>
      <c r="M66" s="6" t="s">
        <v>182</v>
      </c>
      <c r="N66" s="6" t="s">
        <v>149</v>
      </c>
      <c r="O66" s="6" t="s">
        <v>649</v>
      </c>
      <c r="P66" s="6" t="s">
        <v>184</v>
      </c>
      <c r="Q66" s="7" t="n">
        <f aca="false">IFERROR(INDEX(Wastage_Factors!$B$2:$B$60,MATCH(P66,Wastage_Factors!$A$2:$A$60,0)),0)</f>
        <v>0.05</v>
      </c>
      <c r="R66" s="6" t="s">
        <v>523</v>
      </c>
      <c r="S66" s="6" t="s">
        <v>535</v>
      </c>
      <c r="T66" s="6" t="s">
        <v>88</v>
      </c>
      <c r="U66" s="6" t="s">
        <v>83</v>
      </c>
      <c r="V66" s="6" t="s">
        <v>641</v>
      </c>
    </row>
    <row r="67" customFormat="false" ht="22.35" hidden="false" customHeight="false" outlineLevel="0" collapsed="false">
      <c r="A67" s="6" t="s">
        <v>672</v>
      </c>
      <c r="B67" s="6" t="s">
        <v>603</v>
      </c>
      <c r="C67" s="6" t="s">
        <v>673</v>
      </c>
      <c r="D67" s="6" t="s">
        <v>674</v>
      </c>
      <c r="E67" s="6" t="s">
        <v>675</v>
      </c>
      <c r="F67" s="6" t="s">
        <v>143</v>
      </c>
      <c r="G67" s="6" t="s">
        <v>676</v>
      </c>
      <c r="H67" s="6" t="s">
        <v>519</v>
      </c>
      <c r="I67" s="6" t="s">
        <v>520</v>
      </c>
      <c r="J67" s="6" t="s">
        <v>677</v>
      </c>
      <c r="K67" s="6" t="s">
        <v>242</v>
      </c>
      <c r="L67" s="6" t="s">
        <v>83</v>
      </c>
      <c r="M67" s="6" t="s">
        <v>143</v>
      </c>
      <c r="N67" s="6" t="s">
        <v>149</v>
      </c>
      <c r="O67" s="6" t="s">
        <v>521</v>
      </c>
      <c r="P67" s="6" t="s">
        <v>161</v>
      </c>
      <c r="Q67" s="7" t="n">
        <f aca="false">IFERROR(INDEX(Wastage_Factors!$B$2:$B$60,MATCH(P67,Wastage_Factors!$A$2:$A$60,0)),0)</f>
        <v>0</v>
      </c>
      <c r="R67" s="6" t="s">
        <v>523</v>
      </c>
      <c r="S67" s="6" t="s">
        <v>99</v>
      </c>
      <c r="T67" s="6" t="s">
        <v>88</v>
      </c>
      <c r="U67" s="6" t="s">
        <v>83</v>
      </c>
      <c r="V67" s="6" t="s">
        <v>524</v>
      </c>
    </row>
    <row r="68" customFormat="false" ht="22.35" hidden="false" customHeight="false" outlineLevel="0" collapsed="false">
      <c r="A68" s="6" t="s">
        <v>678</v>
      </c>
      <c r="B68" s="6" t="s">
        <v>603</v>
      </c>
      <c r="C68" s="6" t="s">
        <v>673</v>
      </c>
      <c r="D68" s="6" t="s">
        <v>679</v>
      </c>
      <c r="E68" s="6" t="s">
        <v>680</v>
      </c>
      <c r="F68" s="6" t="s">
        <v>238</v>
      </c>
      <c r="G68" s="6" t="s">
        <v>681</v>
      </c>
      <c r="H68" s="6" t="s">
        <v>519</v>
      </c>
      <c r="I68" s="6" t="s">
        <v>520</v>
      </c>
      <c r="J68" s="6"/>
      <c r="K68" s="6" t="s">
        <v>242</v>
      </c>
      <c r="L68" s="6" t="s">
        <v>83</v>
      </c>
      <c r="M68" s="6" t="s">
        <v>238</v>
      </c>
      <c r="N68" s="6" t="s">
        <v>149</v>
      </c>
      <c r="O68" s="6" t="s">
        <v>521</v>
      </c>
      <c r="P68" s="6" t="s">
        <v>184</v>
      </c>
      <c r="Q68" s="7" t="n">
        <f aca="false">IFERROR(INDEX(Wastage_Factors!$B$2:$B$60,MATCH(P68,Wastage_Factors!$A$2:$A$60,0)),0)</f>
        <v>0.05</v>
      </c>
      <c r="R68" s="6" t="s">
        <v>523</v>
      </c>
      <c r="S68" s="6" t="s">
        <v>99</v>
      </c>
      <c r="T68" s="6" t="s">
        <v>88</v>
      </c>
      <c r="U68" s="6" t="s">
        <v>83</v>
      </c>
      <c r="V68" s="6" t="s">
        <v>524</v>
      </c>
    </row>
    <row r="69" customFormat="false" ht="22.35" hidden="false" customHeight="false" outlineLevel="0" collapsed="false">
      <c r="A69" s="6" t="s">
        <v>682</v>
      </c>
      <c r="B69" s="6" t="s">
        <v>603</v>
      </c>
      <c r="C69" s="6" t="s">
        <v>683</v>
      </c>
      <c r="D69" s="6" t="s">
        <v>684</v>
      </c>
      <c r="E69" s="6" t="s">
        <v>685</v>
      </c>
      <c r="F69" s="6" t="s">
        <v>77</v>
      </c>
      <c r="G69" s="6" t="s">
        <v>686</v>
      </c>
      <c r="H69" s="6" t="s">
        <v>687</v>
      </c>
      <c r="I69" s="6" t="s">
        <v>688</v>
      </c>
      <c r="J69" s="6"/>
      <c r="K69" s="6" t="s">
        <v>689</v>
      </c>
      <c r="L69" s="6" t="s">
        <v>83</v>
      </c>
      <c r="M69" s="6" t="s">
        <v>77</v>
      </c>
      <c r="N69" s="6" t="s">
        <v>690</v>
      </c>
      <c r="O69" s="6"/>
      <c r="P69" s="6" t="s">
        <v>184</v>
      </c>
      <c r="Q69" s="7" t="n">
        <f aca="false">IFERROR(INDEX(Wastage_Factors!$B$2:$B$60,MATCH(P69,Wastage_Factors!$A$2:$A$60,0)),0)</f>
        <v>0.05</v>
      </c>
      <c r="R69" s="6" t="s">
        <v>132</v>
      </c>
      <c r="S69" s="6" t="s">
        <v>122</v>
      </c>
      <c r="T69" s="6" t="s">
        <v>88</v>
      </c>
      <c r="U69" s="6" t="s">
        <v>691</v>
      </c>
      <c r="V69" s="6"/>
    </row>
    <row r="70" customFormat="false" ht="22.35" hidden="false" customHeight="false" outlineLevel="0" collapsed="false">
      <c r="A70" s="6" t="s">
        <v>692</v>
      </c>
      <c r="B70" s="6" t="s">
        <v>603</v>
      </c>
      <c r="C70" s="6" t="s">
        <v>693</v>
      </c>
      <c r="D70" s="6" t="s">
        <v>694</v>
      </c>
      <c r="E70" s="6" t="s">
        <v>695</v>
      </c>
      <c r="F70" s="6" t="s">
        <v>696</v>
      </c>
      <c r="G70" s="6" t="s">
        <v>697</v>
      </c>
      <c r="H70" s="6" t="s">
        <v>698</v>
      </c>
      <c r="I70" s="6" t="s">
        <v>566</v>
      </c>
      <c r="J70" s="6"/>
      <c r="K70" s="6" t="s">
        <v>242</v>
      </c>
      <c r="L70" s="6" t="s">
        <v>83</v>
      </c>
      <c r="M70" s="6" t="s">
        <v>77</v>
      </c>
      <c r="N70" s="6" t="s">
        <v>699</v>
      </c>
      <c r="O70" s="6"/>
      <c r="P70" s="6" t="s">
        <v>184</v>
      </c>
      <c r="Q70" s="7" t="n">
        <f aca="false">IFERROR(INDEX(Wastage_Factors!$B$2:$B$60,MATCH(P70,Wastage_Factors!$A$2:$A$60,0)),0)</f>
        <v>0.05</v>
      </c>
      <c r="R70" s="6" t="s">
        <v>244</v>
      </c>
      <c r="S70" s="6" t="s">
        <v>99</v>
      </c>
      <c r="T70" s="6" t="s">
        <v>88</v>
      </c>
      <c r="U70" s="6" t="s">
        <v>83</v>
      </c>
      <c r="V70" s="6"/>
    </row>
    <row r="71" customFormat="false" ht="22.35" hidden="false" customHeight="false" outlineLevel="0" collapsed="false">
      <c r="A71" s="6" t="s">
        <v>700</v>
      </c>
      <c r="B71" s="6" t="s">
        <v>603</v>
      </c>
      <c r="C71" s="6" t="s">
        <v>683</v>
      </c>
      <c r="D71" s="6" t="s">
        <v>701</v>
      </c>
      <c r="E71" s="6" t="s">
        <v>702</v>
      </c>
      <c r="F71" s="6" t="s">
        <v>77</v>
      </c>
      <c r="G71" s="6" t="s">
        <v>703</v>
      </c>
      <c r="H71" s="6" t="s">
        <v>704</v>
      </c>
      <c r="I71" s="6" t="s">
        <v>705</v>
      </c>
      <c r="J71" s="6"/>
      <c r="K71" s="6" t="s">
        <v>242</v>
      </c>
      <c r="L71" s="6" t="s">
        <v>83</v>
      </c>
      <c r="M71" s="6" t="s">
        <v>77</v>
      </c>
      <c r="N71" s="6" t="s">
        <v>706</v>
      </c>
      <c r="O71" s="6"/>
      <c r="P71" s="6" t="s">
        <v>184</v>
      </c>
      <c r="Q71" s="7" t="n">
        <f aca="false">IFERROR(INDEX(Wastage_Factors!$B$2:$B$60,MATCH(P71,Wastage_Factors!$A$2:$A$60,0)),0)</f>
        <v>0.05</v>
      </c>
      <c r="R71" s="6" t="s">
        <v>202</v>
      </c>
      <c r="S71" s="6" t="s">
        <v>122</v>
      </c>
      <c r="T71" s="6" t="s">
        <v>88</v>
      </c>
      <c r="U71" s="6" t="s">
        <v>83</v>
      </c>
      <c r="V71" s="6"/>
    </row>
    <row r="72" customFormat="false" ht="22.35" hidden="false" customHeight="false" outlineLevel="0" collapsed="false">
      <c r="A72" s="6" t="s">
        <v>707</v>
      </c>
      <c r="B72" s="6" t="s">
        <v>603</v>
      </c>
      <c r="C72" s="6" t="s">
        <v>334</v>
      </c>
      <c r="D72" s="6" t="s">
        <v>708</v>
      </c>
      <c r="E72" s="6" t="s">
        <v>709</v>
      </c>
      <c r="F72" s="6" t="s">
        <v>77</v>
      </c>
      <c r="G72" s="6" t="s">
        <v>710</v>
      </c>
      <c r="H72" s="6" t="s">
        <v>711</v>
      </c>
      <c r="I72" s="6" t="s">
        <v>712</v>
      </c>
      <c r="J72" s="6"/>
      <c r="K72" s="6" t="s">
        <v>242</v>
      </c>
      <c r="L72" s="6" t="s">
        <v>83</v>
      </c>
      <c r="M72" s="6" t="s">
        <v>77</v>
      </c>
      <c r="N72" s="6" t="s">
        <v>713</v>
      </c>
      <c r="O72" s="6"/>
      <c r="P72" s="6" t="s">
        <v>184</v>
      </c>
      <c r="Q72" s="7" t="n">
        <f aca="false">IFERROR(INDEX(Wastage_Factors!$B$2:$B$60,MATCH(P72,Wastage_Factors!$A$2:$A$60,0)),0)</f>
        <v>0.05</v>
      </c>
      <c r="R72" s="6" t="s">
        <v>324</v>
      </c>
      <c r="S72" s="6" t="s">
        <v>99</v>
      </c>
      <c r="T72" s="6" t="s">
        <v>88</v>
      </c>
      <c r="U72" s="6" t="s">
        <v>83</v>
      </c>
      <c r="V72" s="6"/>
    </row>
    <row r="73" customFormat="false" ht="22.35" hidden="false" customHeight="false" outlineLevel="0" collapsed="false">
      <c r="A73" s="6" t="s">
        <v>714</v>
      </c>
      <c r="B73" s="6" t="s">
        <v>715</v>
      </c>
      <c r="C73" s="6" t="s">
        <v>334</v>
      </c>
      <c r="D73" s="6" t="s">
        <v>716</v>
      </c>
      <c r="E73" s="6" t="s">
        <v>717</v>
      </c>
      <c r="F73" s="6" t="s">
        <v>77</v>
      </c>
      <c r="G73" s="6" t="s">
        <v>718</v>
      </c>
      <c r="H73" s="6" t="s">
        <v>719</v>
      </c>
      <c r="I73" s="6" t="s">
        <v>720</v>
      </c>
      <c r="J73" s="6" t="s">
        <v>721</v>
      </c>
      <c r="K73" s="6" t="s">
        <v>242</v>
      </c>
      <c r="L73" s="6" t="s">
        <v>83</v>
      </c>
      <c r="M73" s="6" t="s">
        <v>77</v>
      </c>
      <c r="N73" s="6" t="s">
        <v>149</v>
      </c>
      <c r="O73" s="6" t="s">
        <v>722</v>
      </c>
      <c r="P73" s="6" t="s">
        <v>184</v>
      </c>
      <c r="Q73" s="7" t="n">
        <f aca="false">IFERROR(INDEX(Wastage_Factors!$B$2:$B$60,MATCH(P73,Wastage_Factors!$A$2:$A$60,0)),0)</f>
        <v>0.05</v>
      </c>
      <c r="R73" s="6" t="s">
        <v>324</v>
      </c>
      <c r="S73" s="6" t="s">
        <v>99</v>
      </c>
      <c r="T73" s="6" t="s">
        <v>88</v>
      </c>
      <c r="U73" s="6" t="s">
        <v>83</v>
      </c>
      <c r="V73" s="6" t="s">
        <v>723</v>
      </c>
    </row>
    <row r="74" customFormat="false" ht="43.25" hidden="false" customHeight="false" outlineLevel="0" collapsed="false">
      <c r="A74" s="6" t="s">
        <v>724</v>
      </c>
      <c r="B74" s="6" t="s">
        <v>715</v>
      </c>
      <c r="C74" s="6" t="s">
        <v>334</v>
      </c>
      <c r="D74" s="6" t="s">
        <v>725</v>
      </c>
      <c r="E74" s="6" t="s">
        <v>726</v>
      </c>
      <c r="F74" s="6" t="s">
        <v>77</v>
      </c>
      <c r="G74" s="6" t="s">
        <v>727</v>
      </c>
      <c r="H74" s="6" t="s">
        <v>728</v>
      </c>
      <c r="I74" s="6" t="s">
        <v>729</v>
      </c>
      <c r="J74" s="6"/>
      <c r="K74" s="6" t="s">
        <v>242</v>
      </c>
      <c r="L74" s="6" t="s">
        <v>83</v>
      </c>
      <c r="M74" s="6" t="s">
        <v>77</v>
      </c>
      <c r="N74" s="6" t="s">
        <v>730</v>
      </c>
      <c r="O74" s="6"/>
      <c r="P74" s="6" t="s">
        <v>184</v>
      </c>
      <c r="Q74" s="7" t="n">
        <f aca="false">IFERROR(INDEX(Wastage_Factors!$B$2:$B$60,MATCH(P74,Wastage_Factors!$A$2:$A$60,0)),0)</f>
        <v>0.05</v>
      </c>
      <c r="R74" s="6" t="s">
        <v>324</v>
      </c>
      <c r="S74" s="6" t="s">
        <v>122</v>
      </c>
      <c r="T74" s="6" t="s">
        <v>88</v>
      </c>
      <c r="U74" s="6" t="s">
        <v>83</v>
      </c>
      <c r="V74" s="6"/>
    </row>
    <row r="75" customFormat="false" ht="32.8" hidden="false" customHeight="false" outlineLevel="0" collapsed="false">
      <c r="A75" s="6" t="s">
        <v>731</v>
      </c>
      <c r="B75" s="6" t="s">
        <v>715</v>
      </c>
      <c r="C75" s="6" t="s">
        <v>732</v>
      </c>
      <c r="D75" s="6" t="s">
        <v>733</v>
      </c>
      <c r="E75" s="6" t="s">
        <v>734</v>
      </c>
      <c r="F75" s="6" t="s">
        <v>216</v>
      </c>
      <c r="G75" s="6" t="s">
        <v>735</v>
      </c>
      <c r="H75" s="6" t="s">
        <v>736</v>
      </c>
      <c r="I75" s="6" t="s">
        <v>241</v>
      </c>
      <c r="J75" s="6"/>
      <c r="K75" s="6" t="s">
        <v>242</v>
      </c>
      <c r="L75" s="6" t="s">
        <v>737</v>
      </c>
      <c r="M75" s="6" t="s">
        <v>182</v>
      </c>
      <c r="N75" s="6" t="s">
        <v>738</v>
      </c>
      <c r="O75" s="6"/>
      <c r="P75" s="6" t="s">
        <v>184</v>
      </c>
      <c r="Q75" s="7" t="n">
        <f aca="false">IFERROR(INDEX(Wastage_Factors!$B$2:$B$60,MATCH(P75,Wastage_Factors!$A$2:$A$60,0)),0)</f>
        <v>0.05</v>
      </c>
      <c r="R75" s="6" t="s">
        <v>324</v>
      </c>
      <c r="S75" s="6" t="s">
        <v>535</v>
      </c>
      <c r="T75" s="6" t="s">
        <v>88</v>
      </c>
      <c r="U75" s="6" t="s">
        <v>83</v>
      </c>
      <c r="V75" s="6"/>
    </row>
    <row r="76" customFormat="false" ht="22.35" hidden="false" customHeight="false" outlineLevel="0" collapsed="false">
      <c r="A76" s="6" t="s">
        <v>739</v>
      </c>
      <c r="B76" s="6" t="s">
        <v>715</v>
      </c>
      <c r="C76" s="6" t="s">
        <v>732</v>
      </c>
      <c r="D76" s="6" t="s">
        <v>740</v>
      </c>
      <c r="E76" s="6" t="s">
        <v>741</v>
      </c>
      <c r="F76" s="6" t="s">
        <v>216</v>
      </c>
      <c r="G76" s="6" t="s">
        <v>742</v>
      </c>
      <c r="H76" s="6" t="s">
        <v>743</v>
      </c>
      <c r="I76" s="6" t="s">
        <v>241</v>
      </c>
      <c r="J76" s="6"/>
      <c r="K76" s="6" t="s">
        <v>242</v>
      </c>
      <c r="L76" s="6" t="s">
        <v>83</v>
      </c>
      <c r="M76" s="6" t="s">
        <v>77</v>
      </c>
      <c r="N76" s="6" t="s">
        <v>744</v>
      </c>
      <c r="O76" s="6"/>
      <c r="P76" s="6" t="s">
        <v>184</v>
      </c>
      <c r="Q76" s="7" t="n">
        <f aca="false">IFERROR(INDEX(Wastage_Factors!$B$2:$B$60,MATCH(P76,Wastage_Factors!$A$2:$A$60,0)),0)</f>
        <v>0.05</v>
      </c>
      <c r="R76" s="6" t="s">
        <v>244</v>
      </c>
      <c r="S76" s="6" t="s">
        <v>87</v>
      </c>
      <c r="T76" s="6" t="s">
        <v>88</v>
      </c>
      <c r="U76" s="6" t="s">
        <v>83</v>
      </c>
      <c r="V76" s="6"/>
    </row>
    <row r="77" customFormat="false" ht="22.35" hidden="false" customHeight="false" outlineLevel="0" collapsed="false">
      <c r="A77" s="6" t="s">
        <v>745</v>
      </c>
      <c r="B77" s="6" t="s">
        <v>715</v>
      </c>
      <c r="C77" s="6" t="s">
        <v>746</v>
      </c>
      <c r="D77" s="6" t="s">
        <v>747</v>
      </c>
      <c r="E77" s="6" t="s">
        <v>748</v>
      </c>
      <c r="F77" s="6" t="s">
        <v>238</v>
      </c>
      <c r="G77" s="6" t="s">
        <v>749</v>
      </c>
      <c r="H77" s="6" t="s">
        <v>750</v>
      </c>
      <c r="I77" s="6" t="s">
        <v>751</v>
      </c>
      <c r="J77" s="6"/>
      <c r="K77" s="6" t="s">
        <v>242</v>
      </c>
      <c r="L77" s="6" t="s">
        <v>83</v>
      </c>
      <c r="M77" s="6" t="s">
        <v>238</v>
      </c>
      <c r="N77" s="6" t="s">
        <v>149</v>
      </c>
      <c r="O77" s="6" t="s">
        <v>752</v>
      </c>
      <c r="P77" s="6" t="s">
        <v>184</v>
      </c>
      <c r="Q77" s="7" t="n">
        <f aca="false">IFERROR(INDEX(Wastage_Factors!$B$2:$B$60,MATCH(P77,Wastage_Factors!$A$2:$A$60,0)),0)</f>
        <v>0.05</v>
      </c>
      <c r="R77" s="6" t="s">
        <v>523</v>
      </c>
      <c r="S77" s="6" t="s">
        <v>87</v>
      </c>
      <c r="T77" s="6" t="s">
        <v>88</v>
      </c>
      <c r="U77" s="6" t="s">
        <v>83</v>
      </c>
      <c r="V77" s="6"/>
    </row>
    <row r="78" customFormat="false" ht="15" hidden="false" customHeight="false" outlineLevel="0" collapsed="false">
      <c r="A78" s="6" t="s">
        <v>753</v>
      </c>
      <c r="B78" s="6" t="s">
        <v>715</v>
      </c>
      <c r="C78" s="6" t="s">
        <v>754</v>
      </c>
      <c r="D78" s="6" t="s">
        <v>755</v>
      </c>
      <c r="E78" s="6" t="s">
        <v>756</v>
      </c>
      <c r="F78" s="6" t="s">
        <v>238</v>
      </c>
      <c r="G78" s="6" t="s">
        <v>757</v>
      </c>
      <c r="H78" s="6" t="s">
        <v>758</v>
      </c>
      <c r="I78" s="6" t="s">
        <v>759</v>
      </c>
      <c r="J78" s="6"/>
      <c r="K78" s="6" t="s">
        <v>242</v>
      </c>
      <c r="L78" s="6" t="s">
        <v>83</v>
      </c>
      <c r="M78" s="6" t="s">
        <v>182</v>
      </c>
      <c r="N78" s="6" t="s">
        <v>760</v>
      </c>
      <c r="O78" s="6"/>
      <c r="P78" s="6" t="s">
        <v>184</v>
      </c>
      <c r="Q78" s="7" t="n">
        <f aca="false">IFERROR(INDEX(Wastage_Factors!$B$2:$B$60,MATCH(P78,Wastage_Factors!$A$2:$A$60,0)),0)</f>
        <v>0.05</v>
      </c>
      <c r="R78" s="6" t="s">
        <v>244</v>
      </c>
      <c r="S78" s="6" t="s">
        <v>87</v>
      </c>
      <c r="T78" s="6" t="s">
        <v>88</v>
      </c>
      <c r="U78" s="6" t="s">
        <v>83</v>
      </c>
      <c r="V78" s="6"/>
    </row>
    <row r="79" customFormat="false" ht="32.8" hidden="false" customHeight="false" outlineLevel="0" collapsed="false">
      <c r="A79" s="6" t="s">
        <v>761</v>
      </c>
      <c r="B79" s="6" t="s">
        <v>762</v>
      </c>
      <c r="C79" s="6" t="s">
        <v>763</v>
      </c>
      <c r="D79" s="6" t="s">
        <v>764</v>
      </c>
      <c r="E79" s="6" t="s">
        <v>765</v>
      </c>
      <c r="F79" s="6" t="s">
        <v>182</v>
      </c>
      <c r="G79" s="6" t="s">
        <v>766</v>
      </c>
      <c r="H79" s="6" t="s">
        <v>767</v>
      </c>
      <c r="I79" s="6" t="s">
        <v>768</v>
      </c>
      <c r="J79" s="6" t="s">
        <v>769</v>
      </c>
      <c r="K79" s="6" t="s">
        <v>242</v>
      </c>
      <c r="L79" s="6" t="s">
        <v>770</v>
      </c>
      <c r="M79" s="6" t="s">
        <v>182</v>
      </c>
      <c r="N79" s="6" t="s">
        <v>149</v>
      </c>
      <c r="O79" s="6" t="s">
        <v>771</v>
      </c>
      <c r="P79" s="6" t="s">
        <v>522</v>
      </c>
      <c r="Q79" s="7" t="n">
        <f aca="false">IFERROR(INDEX(Wastage_Factors!$B$2:$B$60,MATCH(P79,Wastage_Factors!$A$2:$A$60,0)),0)</f>
        <v>0.07</v>
      </c>
      <c r="R79" s="6" t="s">
        <v>244</v>
      </c>
      <c r="S79" s="6" t="s">
        <v>99</v>
      </c>
      <c r="T79" s="6" t="s">
        <v>88</v>
      </c>
      <c r="U79" s="6" t="s">
        <v>772</v>
      </c>
      <c r="V79" s="6" t="s">
        <v>245</v>
      </c>
    </row>
    <row r="80" customFormat="false" ht="22.35" hidden="false" customHeight="false" outlineLevel="0" collapsed="false">
      <c r="A80" s="6" t="s">
        <v>773</v>
      </c>
      <c r="B80" s="6" t="s">
        <v>762</v>
      </c>
      <c r="C80" s="6" t="s">
        <v>774</v>
      </c>
      <c r="D80" s="6" t="s">
        <v>775</v>
      </c>
      <c r="E80" s="6" t="s">
        <v>776</v>
      </c>
      <c r="F80" s="6" t="s">
        <v>182</v>
      </c>
      <c r="G80" s="6" t="s">
        <v>777</v>
      </c>
      <c r="H80" s="6" t="s">
        <v>778</v>
      </c>
      <c r="I80" s="6" t="s">
        <v>779</v>
      </c>
      <c r="J80" s="6"/>
      <c r="K80" s="6" t="s">
        <v>242</v>
      </c>
      <c r="L80" s="6" t="s">
        <v>770</v>
      </c>
      <c r="M80" s="6" t="s">
        <v>182</v>
      </c>
      <c r="N80" s="6" t="s">
        <v>149</v>
      </c>
      <c r="O80" s="6" t="s">
        <v>780</v>
      </c>
      <c r="P80" s="6" t="s">
        <v>522</v>
      </c>
      <c r="Q80" s="7" t="n">
        <f aca="false">IFERROR(INDEX(Wastage_Factors!$B$2:$B$60,MATCH(P80,Wastage_Factors!$A$2:$A$60,0)),0)</f>
        <v>0.07</v>
      </c>
      <c r="R80" s="6" t="s">
        <v>244</v>
      </c>
      <c r="S80" s="6" t="s">
        <v>99</v>
      </c>
      <c r="T80" s="6" t="s">
        <v>88</v>
      </c>
      <c r="U80" s="6" t="s">
        <v>781</v>
      </c>
      <c r="V80" s="6" t="s">
        <v>245</v>
      </c>
    </row>
    <row r="81" customFormat="false" ht="22.35" hidden="false" customHeight="false" outlineLevel="0" collapsed="false">
      <c r="A81" s="6" t="s">
        <v>782</v>
      </c>
      <c r="B81" s="6" t="s">
        <v>762</v>
      </c>
      <c r="C81" s="6" t="s">
        <v>783</v>
      </c>
      <c r="D81" s="6" t="s">
        <v>784</v>
      </c>
      <c r="E81" s="6" t="s">
        <v>785</v>
      </c>
      <c r="F81" s="6" t="s">
        <v>182</v>
      </c>
      <c r="G81" s="6" t="s">
        <v>786</v>
      </c>
      <c r="H81" s="6" t="s">
        <v>787</v>
      </c>
      <c r="I81" s="6" t="s">
        <v>788</v>
      </c>
      <c r="J81" s="6"/>
      <c r="K81" s="6" t="s">
        <v>242</v>
      </c>
      <c r="L81" s="6" t="s">
        <v>770</v>
      </c>
      <c r="M81" s="6" t="s">
        <v>182</v>
      </c>
      <c r="N81" s="6" t="s">
        <v>149</v>
      </c>
      <c r="O81" s="6" t="s">
        <v>789</v>
      </c>
      <c r="P81" s="6" t="s">
        <v>577</v>
      </c>
      <c r="Q81" s="7" t="n">
        <f aca="false">IFERROR(INDEX(Wastage_Factors!$B$2:$B$60,MATCH(P81,Wastage_Factors!$A$2:$A$60,0)),0)</f>
        <v>0.08</v>
      </c>
      <c r="R81" s="6" t="s">
        <v>244</v>
      </c>
      <c r="S81" s="6" t="s">
        <v>99</v>
      </c>
      <c r="T81" s="6" t="s">
        <v>88</v>
      </c>
      <c r="U81" s="6" t="s">
        <v>790</v>
      </c>
      <c r="V81" s="6" t="s">
        <v>245</v>
      </c>
    </row>
    <row r="82" customFormat="false" ht="22.35" hidden="false" customHeight="false" outlineLevel="0" collapsed="false">
      <c r="A82" s="6" t="s">
        <v>791</v>
      </c>
      <c r="B82" s="6" t="s">
        <v>762</v>
      </c>
      <c r="C82" s="6" t="s">
        <v>792</v>
      </c>
      <c r="D82" s="6" t="s">
        <v>793</v>
      </c>
      <c r="E82" s="6" t="s">
        <v>794</v>
      </c>
      <c r="F82" s="6" t="s">
        <v>182</v>
      </c>
      <c r="G82" s="6" t="s">
        <v>795</v>
      </c>
      <c r="H82" s="6" t="s">
        <v>240</v>
      </c>
      <c r="I82" s="6" t="s">
        <v>241</v>
      </c>
      <c r="J82" s="6"/>
      <c r="K82" s="6" t="s">
        <v>242</v>
      </c>
      <c r="L82" s="6" t="s">
        <v>83</v>
      </c>
      <c r="M82" s="6" t="s">
        <v>182</v>
      </c>
      <c r="N82" s="6" t="s">
        <v>149</v>
      </c>
      <c r="O82" s="6" t="s">
        <v>243</v>
      </c>
      <c r="P82" s="6" t="s">
        <v>584</v>
      </c>
      <c r="Q82" s="7" t="n">
        <f aca="false">IFERROR(INDEX(Wastage_Factors!$B$2:$B$60,MATCH(P82,Wastage_Factors!$A$2:$A$60,0)),0)</f>
        <v>0.1</v>
      </c>
      <c r="R82" s="6" t="s">
        <v>244</v>
      </c>
      <c r="S82" s="6" t="s">
        <v>99</v>
      </c>
      <c r="T82" s="6" t="s">
        <v>88</v>
      </c>
      <c r="U82" s="6" t="s">
        <v>83</v>
      </c>
      <c r="V82" s="6" t="s">
        <v>245</v>
      </c>
    </row>
    <row r="83" customFormat="false" ht="22.35" hidden="false" customHeight="false" outlineLevel="0" collapsed="false">
      <c r="A83" s="6" t="s">
        <v>796</v>
      </c>
      <c r="B83" s="6" t="s">
        <v>762</v>
      </c>
      <c r="C83" s="6" t="s">
        <v>797</v>
      </c>
      <c r="D83" s="6" t="s">
        <v>798</v>
      </c>
      <c r="E83" s="6" t="s">
        <v>799</v>
      </c>
      <c r="F83" s="6" t="s">
        <v>182</v>
      </c>
      <c r="G83" s="6" t="s">
        <v>800</v>
      </c>
      <c r="H83" s="6" t="s">
        <v>801</v>
      </c>
      <c r="I83" s="6" t="s">
        <v>802</v>
      </c>
      <c r="J83" s="6"/>
      <c r="K83" s="6" t="s">
        <v>242</v>
      </c>
      <c r="L83" s="6" t="s">
        <v>83</v>
      </c>
      <c r="M83" s="6" t="s">
        <v>182</v>
      </c>
      <c r="N83" s="6" t="s">
        <v>803</v>
      </c>
      <c r="O83" s="6"/>
      <c r="P83" s="6" t="s">
        <v>584</v>
      </c>
      <c r="Q83" s="7" t="n">
        <f aca="false">IFERROR(INDEX(Wastage_Factors!$B$2:$B$60,MATCH(P83,Wastage_Factors!$A$2:$A$60,0)),0)</f>
        <v>0.1</v>
      </c>
      <c r="R83" s="6" t="s">
        <v>244</v>
      </c>
      <c r="S83" s="6" t="s">
        <v>87</v>
      </c>
      <c r="T83" s="6" t="s">
        <v>88</v>
      </c>
      <c r="U83" s="6" t="s">
        <v>83</v>
      </c>
      <c r="V83" s="6"/>
    </row>
    <row r="84" customFormat="false" ht="22.35" hidden="false" customHeight="false" outlineLevel="0" collapsed="false">
      <c r="A84" s="6" t="s">
        <v>804</v>
      </c>
      <c r="B84" s="6" t="s">
        <v>762</v>
      </c>
      <c r="C84" s="6" t="s">
        <v>805</v>
      </c>
      <c r="D84" s="6" t="s">
        <v>806</v>
      </c>
      <c r="E84" s="6" t="s">
        <v>807</v>
      </c>
      <c r="F84" s="6" t="s">
        <v>182</v>
      </c>
      <c r="G84" s="6" t="s">
        <v>808</v>
      </c>
      <c r="H84" s="6" t="s">
        <v>809</v>
      </c>
      <c r="I84" s="6" t="s">
        <v>810</v>
      </c>
      <c r="J84" s="6"/>
      <c r="K84" s="6" t="s">
        <v>242</v>
      </c>
      <c r="L84" s="6" t="s">
        <v>83</v>
      </c>
      <c r="M84" s="6" t="s">
        <v>77</v>
      </c>
      <c r="N84" s="6" t="s">
        <v>149</v>
      </c>
      <c r="O84" s="6" t="s">
        <v>811</v>
      </c>
      <c r="P84" s="6" t="s">
        <v>584</v>
      </c>
      <c r="Q84" s="7" t="n">
        <f aca="false">IFERROR(INDEX(Wastage_Factors!$B$2:$B$60,MATCH(P84,Wastage_Factors!$A$2:$A$60,0)),0)</f>
        <v>0.1</v>
      </c>
      <c r="R84" s="6" t="s">
        <v>244</v>
      </c>
      <c r="S84" s="6" t="s">
        <v>99</v>
      </c>
      <c r="T84" s="6" t="s">
        <v>109</v>
      </c>
      <c r="U84" s="6" t="s">
        <v>812</v>
      </c>
      <c r="V84" s="6"/>
    </row>
    <row r="85" customFormat="false" ht="22.35" hidden="false" customHeight="false" outlineLevel="0" collapsed="false">
      <c r="A85" s="6" t="s">
        <v>813</v>
      </c>
      <c r="B85" s="6" t="s">
        <v>762</v>
      </c>
      <c r="C85" s="6" t="s">
        <v>814</v>
      </c>
      <c r="D85" s="6" t="s">
        <v>815</v>
      </c>
      <c r="E85" s="6" t="s">
        <v>816</v>
      </c>
      <c r="F85" s="6" t="s">
        <v>182</v>
      </c>
      <c r="G85" s="6" t="s">
        <v>817</v>
      </c>
      <c r="H85" s="6" t="s">
        <v>818</v>
      </c>
      <c r="I85" s="6" t="s">
        <v>819</v>
      </c>
      <c r="J85" s="6"/>
      <c r="K85" s="6" t="s">
        <v>242</v>
      </c>
      <c r="L85" s="6" t="s">
        <v>83</v>
      </c>
      <c r="M85" s="6" t="s">
        <v>77</v>
      </c>
      <c r="N85" s="6" t="s">
        <v>149</v>
      </c>
      <c r="O85" s="6" t="s">
        <v>820</v>
      </c>
      <c r="P85" s="6" t="s">
        <v>522</v>
      </c>
      <c r="Q85" s="7" t="n">
        <f aca="false">IFERROR(INDEX(Wastage_Factors!$B$2:$B$60,MATCH(P85,Wastage_Factors!$A$2:$A$60,0)),0)</f>
        <v>0.07</v>
      </c>
      <c r="R85" s="6" t="s">
        <v>244</v>
      </c>
      <c r="S85" s="6" t="s">
        <v>99</v>
      </c>
      <c r="T85" s="6" t="s">
        <v>88</v>
      </c>
      <c r="U85" s="6" t="s">
        <v>83</v>
      </c>
      <c r="V85" s="6"/>
    </row>
    <row r="86" customFormat="false" ht="22.35" hidden="false" customHeight="false" outlineLevel="0" collapsed="false">
      <c r="A86" s="6" t="s">
        <v>821</v>
      </c>
      <c r="B86" s="6" t="s">
        <v>762</v>
      </c>
      <c r="C86" s="6" t="s">
        <v>822</v>
      </c>
      <c r="D86" s="6" t="s">
        <v>823</v>
      </c>
      <c r="E86" s="6" t="s">
        <v>824</v>
      </c>
      <c r="F86" s="6" t="s">
        <v>182</v>
      </c>
      <c r="G86" s="6" t="s">
        <v>825</v>
      </c>
      <c r="H86" s="6" t="s">
        <v>826</v>
      </c>
      <c r="I86" s="6" t="s">
        <v>827</v>
      </c>
      <c r="J86" s="6"/>
      <c r="K86" s="6" t="s">
        <v>242</v>
      </c>
      <c r="L86" s="6" t="s">
        <v>83</v>
      </c>
      <c r="M86" s="6" t="s">
        <v>77</v>
      </c>
      <c r="N86" s="6" t="s">
        <v>149</v>
      </c>
      <c r="O86" s="6" t="s">
        <v>828</v>
      </c>
      <c r="P86" s="6" t="s">
        <v>584</v>
      </c>
      <c r="Q86" s="7" t="n">
        <f aca="false">IFERROR(INDEX(Wastage_Factors!$B$2:$B$60,MATCH(P86,Wastage_Factors!$A$2:$A$60,0)),0)</f>
        <v>0.1</v>
      </c>
      <c r="R86" s="6" t="s">
        <v>244</v>
      </c>
      <c r="S86" s="6" t="s">
        <v>99</v>
      </c>
      <c r="T86" s="6" t="s">
        <v>109</v>
      </c>
      <c r="U86" s="6" t="s">
        <v>829</v>
      </c>
      <c r="V86" s="6"/>
    </row>
    <row r="87" customFormat="false" ht="22.35" hidden="false" customHeight="false" outlineLevel="0" collapsed="false">
      <c r="A87" s="6" t="s">
        <v>830</v>
      </c>
      <c r="B87" s="6" t="s">
        <v>762</v>
      </c>
      <c r="C87" s="6" t="s">
        <v>831</v>
      </c>
      <c r="D87" s="6" t="s">
        <v>832</v>
      </c>
      <c r="E87" s="6" t="s">
        <v>833</v>
      </c>
      <c r="F87" s="6" t="s">
        <v>238</v>
      </c>
      <c r="G87" s="6" t="s">
        <v>834</v>
      </c>
      <c r="H87" s="6" t="s">
        <v>835</v>
      </c>
      <c r="I87" s="6" t="s">
        <v>836</v>
      </c>
      <c r="J87" s="6" t="s">
        <v>837</v>
      </c>
      <c r="K87" s="6" t="s">
        <v>242</v>
      </c>
      <c r="L87" s="6" t="s">
        <v>838</v>
      </c>
      <c r="M87" s="6" t="s">
        <v>182</v>
      </c>
      <c r="N87" s="6" t="s">
        <v>149</v>
      </c>
      <c r="O87" s="6" t="s">
        <v>839</v>
      </c>
      <c r="P87" s="6" t="s">
        <v>552</v>
      </c>
      <c r="Q87" s="7" t="n">
        <f aca="false">IFERROR(INDEX(Wastage_Factors!$B$2:$B$60,MATCH(P87,Wastage_Factors!$A$2:$A$60,0)),0)</f>
        <v>0.05</v>
      </c>
      <c r="R87" s="6" t="s">
        <v>244</v>
      </c>
      <c r="S87" s="6" t="s">
        <v>99</v>
      </c>
      <c r="T87" s="6" t="s">
        <v>88</v>
      </c>
      <c r="U87" s="6" t="s">
        <v>83</v>
      </c>
      <c r="V87" s="6" t="s">
        <v>245</v>
      </c>
    </row>
    <row r="88" customFormat="false" ht="22.35" hidden="false" customHeight="false" outlineLevel="0" collapsed="false">
      <c r="A88" s="6" t="s">
        <v>840</v>
      </c>
      <c r="B88" s="6" t="s">
        <v>762</v>
      </c>
      <c r="C88" s="6" t="s">
        <v>841</v>
      </c>
      <c r="D88" s="6" t="s">
        <v>842</v>
      </c>
      <c r="E88" s="6" t="s">
        <v>843</v>
      </c>
      <c r="F88" s="6" t="s">
        <v>238</v>
      </c>
      <c r="G88" s="6" t="s">
        <v>844</v>
      </c>
      <c r="H88" s="6" t="s">
        <v>845</v>
      </c>
      <c r="I88" s="6" t="s">
        <v>846</v>
      </c>
      <c r="J88" s="6"/>
      <c r="K88" s="6" t="s">
        <v>242</v>
      </c>
      <c r="L88" s="6" t="s">
        <v>847</v>
      </c>
      <c r="M88" s="6" t="s">
        <v>182</v>
      </c>
      <c r="N88" s="6" t="s">
        <v>149</v>
      </c>
      <c r="O88" s="6" t="s">
        <v>848</v>
      </c>
      <c r="P88" s="6" t="s">
        <v>849</v>
      </c>
      <c r="Q88" s="7" t="n">
        <f aca="false">IFERROR(INDEX(Wastage_Factors!$B$2:$B$60,MATCH(P88,Wastage_Factors!$A$2:$A$60,0)),0)</f>
        <v>0.1</v>
      </c>
      <c r="R88" s="6" t="s">
        <v>244</v>
      </c>
      <c r="S88" s="6" t="s">
        <v>99</v>
      </c>
      <c r="T88" s="6" t="s">
        <v>88</v>
      </c>
      <c r="U88" s="6" t="s">
        <v>83</v>
      </c>
      <c r="V88" s="6" t="s">
        <v>245</v>
      </c>
    </row>
    <row r="89" customFormat="false" ht="22.35" hidden="false" customHeight="false" outlineLevel="0" collapsed="false">
      <c r="A89" s="6" t="s">
        <v>850</v>
      </c>
      <c r="B89" s="6" t="s">
        <v>762</v>
      </c>
      <c r="C89" s="6" t="s">
        <v>334</v>
      </c>
      <c r="D89" s="6" t="s">
        <v>851</v>
      </c>
      <c r="E89" s="6" t="s">
        <v>852</v>
      </c>
      <c r="F89" s="6" t="s">
        <v>115</v>
      </c>
      <c r="G89" s="6" t="s">
        <v>853</v>
      </c>
      <c r="H89" s="6" t="s">
        <v>845</v>
      </c>
      <c r="I89" s="6" t="s">
        <v>846</v>
      </c>
      <c r="J89" s="6"/>
      <c r="K89" s="6" t="s">
        <v>242</v>
      </c>
      <c r="L89" s="6" t="s">
        <v>83</v>
      </c>
      <c r="M89" s="6" t="s">
        <v>115</v>
      </c>
      <c r="N89" s="6" t="s">
        <v>149</v>
      </c>
      <c r="O89" s="6" t="s">
        <v>848</v>
      </c>
      <c r="P89" s="6" t="s">
        <v>184</v>
      </c>
      <c r="Q89" s="7" t="n">
        <f aca="false">IFERROR(INDEX(Wastage_Factors!$B$2:$B$60,MATCH(P89,Wastage_Factors!$A$2:$A$60,0)),0)</f>
        <v>0.05</v>
      </c>
      <c r="R89" s="6" t="s">
        <v>244</v>
      </c>
      <c r="S89" s="6" t="s">
        <v>99</v>
      </c>
      <c r="T89" s="6" t="s">
        <v>88</v>
      </c>
      <c r="U89" s="6" t="s">
        <v>83</v>
      </c>
      <c r="V89" s="6" t="s">
        <v>245</v>
      </c>
    </row>
    <row r="90" customFormat="false" ht="22.35" hidden="false" customHeight="false" outlineLevel="0" collapsed="false">
      <c r="A90" s="6" t="s">
        <v>854</v>
      </c>
      <c r="B90" s="6" t="s">
        <v>762</v>
      </c>
      <c r="C90" s="6" t="s">
        <v>855</v>
      </c>
      <c r="D90" s="6" t="s">
        <v>856</v>
      </c>
      <c r="E90" s="6" t="s">
        <v>857</v>
      </c>
      <c r="F90" s="6" t="s">
        <v>77</v>
      </c>
      <c r="G90" s="6" t="s">
        <v>858</v>
      </c>
      <c r="H90" s="6" t="s">
        <v>859</v>
      </c>
      <c r="I90" s="6" t="s">
        <v>712</v>
      </c>
      <c r="J90" s="6"/>
      <c r="K90" s="6" t="s">
        <v>242</v>
      </c>
      <c r="L90" s="6" t="s">
        <v>83</v>
      </c>
      <c r="M90" s="6" t="s">
        <v>77</v>
      </c>
      <c r="N90" s="6" t="s">
        <v>860</v>
      </c>
      <c r="O90" s="6"/>
      <c r="P90" s="6" t="s">
        <v>184</v>
      </c>
      <c r="Q90" s="7" t="n">
        <f aca="false">IFERROR(INDEX(Wastage_Factors!$B$2:$B$60,MATCH(P90,Wastage_Factors!$A$2:$A$60,0)),0)</f>
        <v>0.05</v>
      </c>
      <c r="R90" s="6" t="s">
        <v>244</v>
      </c>
      <c r="S90" s="6" t="s">
        <v>87</v>
      </c>
      <c r="T90" s="6" t="s">
        <v>88</v>
      </c>
      <c r="U90" s="6" t="s">
        <v>83</v>
      </c>
      <c r="V90" s="6"/>
    </row>
    <row r="91" customFormat="false" ht="22.35" hidden="false" customHeight="false" outlineLevel="0" collapsed="false">
      <c r="A91" s="6" t="s">
        <v>861</v>
      </c>
      <c r="B91" s="6" t="s">
        <v>762</v>
      </c>
      <c r="C91" s="6" t="s">
        <v>862</v>
      </c>
      <c r="D91" s="6" t="s">
        <v>863</v>
      </c>
      <c r="E91" s="6" t="s">
        <v>864</v>
      </c>
      <c r="F91" s="6" t="s">
        <v>182</v>
      </c>
      <c r="G91" s="6" t="s">
        <v>865</v>
      </c>
      <c r="H91" s="6" t="s">
        <v>240</v>
      </c>
      <c r="I91" s="6" t="s">
        <v>866</v>
      </c>
      <c r="J91" s="6"/>
      <c r="K91" s="6" t="s">
        <v>242</v>
      </c>
      <c r="L91" s="6" t="s">
        <v>83</v>
      </c>
      <c r="M91" s="6" t="s">
        <v>182</v>
      </c>
      <c r="N91" s="6" t="s">
        <v>149</v>
      </c>
      <c r="O91" s="6" t="s">
        <v>243</v>
      </c>
      <c r="P91" s="6" t="s">
        <v>85</v>
      </c>
      <c r="Q91" s="7" t="n">
        <f aca="false">IFERROR(INDEX(Wastage_Factors!$B$2:$B$60,MATCH(P91,Wastage_Factors!$A$2:$A$60,0)),0)</f>
        <v>0</v>
      </c>
      <c r="R91" s="6" t="s">
        <v>244</v>
      </c>
      <c r="S91" s="6" t="s">
        <v>99</v>
      </c>
      <c r="T91" s="6" t="s">
        <v>88</v>
      </c>
      <c r="U91" s="6" t="s">
        <v>83</v>
      </c>
      <c r="V91" s="6" t="s">
        <v>245</v>
      </c>
    </row>
    <row r="92" customFormat="false" ht="22.35" hidden="false" customHeight="false" outlineLevel="0" collapsed="false">
      <c r="A92" s="6" t="s">
        <v>867</v>
      </c>
      <c r="B92" s="6" t="s">
        <v>762</v>
      </c>
      <c r="C92" s="6" t="s">
        <v>868</v>
      </c>
      <c r="D92" s="6" t="s">
        <v>869</v>
      </c>
      <c r="E92" s="6" t="s">
        <v>870</v>
      </c>
      <c r="F92" s="6" t="s">
        <v>182</v>
      </c>
      <c r="G92" s="6" t="s">
        <v>871</v>
      </c>
      <c r="H92" s="6" t="s">
        <v>872</v>
      </c>
      <c r="I92" s="6" t="s">
        <v>241</v>
      </c>
      <c r="J92" s="6"/>
      <c r="K92" s="6" t="s">
        <v>242</v>
      </c>
      <c r="L92" s="6" t="s">
        <v>83</v>
      </c>
      <c r="M92" s="6" t="s">
        <v>182</v>
      </c>
      <c r="N92" s="6" t="s">
        <v>803</v>
      </c>
      <c r="O92" s="6"/>
      <c r="P92" s="6" t="s">
        <v>522</v>
      </c>
      <c r="Q92" s="7" t="n">
        <f aca="false">IFERROR(INDEX(Wastage_Factors!$B$2:$B$60,MATCH(P92,Wastage_Factors!$A$2:$A$60,0)),0)</f>
        <v>0.07</v>
      </c>
      <c r="R92" s="6" t="s">
        <v>244</v>
      </c>
      <c r="S92" s="6" t="s">
        <v>535</v>
      </c>
      <c r="T92" s="6" t="s">
        <v>88</v>
      </c>
      <c r="U92" s="6" t="s">
        <v>83</v>
      </c>
      <c r="V92" s="6"/>
    </row>
    <row r="93" customFormat="false" ht="22.35" hidden="false" customHeight="false" outlineLevel="0" collapsed="false">
      <c r="A93" s="6" t="s">
        <v>873</v>
      </c>
      <c r="B93" s="6" t="s">
        <v>762</v>
      </c>
      <c r="C93" s="6" t="s">
        <v>874</v>
      </c>
      <c r="D93" s="6" t="s">
        <v>875</v>
      </c>
      <c r="E93" s="6" t="s">
        <v>876</v>
      </c>
      <c r="F93" s="6" t="s">
        <v>182</v>
      </c>
      <c r="G93" s="6" t="s">
        <v>877</v>
      </c>
      <c r="H93" s="6" t="s">
        <v>878</v>
      </c>
      <c r="I93" s="6" t="s">
        <v>241</v>
      </c>
      <c r="J93" s="6"/>
      <c r="K93" s="6" t="s">
        <v>242</v>
      </c>
      <c r="L93" s="6" t="s">
        <v>879</v>
      </c>
      <c r="M93" s="6" t="s">
        <v>182</v>
      </c>
      <c r="N93" s="6" t="s">
        <v>880</v>
      </c>
      <c r="O93" s="6"/>
      <c r="P93" s="6" t="s">
        <v>522</v>
      </c>
      <c r="Q93" s="7" t="n">
        <f aca="false">IFERROR(INDEX(Wastage_Factors!$B$2:$B$60,MATCH(P93,Wastage_Factors!$A$2:$A$60,0)),0)</f>
        <v>0.07</v>
      </c>
      <c r="R93" s="6" t="s">
        <v>244</v>
      </c>
      <c r="S93" s="6" t="s">
        <v>881</v>
      </c>
      <c r="T93" s="6" t="s">
        <v>88</v>
      </c>
      <c r="U93" s="6" t="s">
        <v>83</v>
      </c>
      <c r="V93" s="6"/>
    </row>
    <row r="94" customFormat="false" ht="22.35" hidden="false" customHeight="false" outlineLevel="0" collapsed="false">
      <c r="A94" s="6" t="s">
        <v>882</v>
      </c>
      <c r="B94" s="6" t="s">
        <v>762</v>
      </c>
      <c r="C94" s="6" t="s">
        <v>805</v>
      </c>
      <c r="D94" s="6" t="s">
        <v>883</v>
      </c>
      <c r="E94" s="6" t="s">
        <v>884</v>
      </c>
      <c r="F94" s="6" t="s">
        <v>77</v>
      </c>
      <c r="G94" s="6" t="s">
        <v>885</v>
      </c>
      <c r="H94" s="6" t="s">
        <v>809</v>
      </c>
      <c r="I94" s="6" t="s">
        <v>810</v>
      </c>
      <c r="J94" s="6"/>
      <c r="K94" s="6" t="s">
        <v>242</v>
      </c>
      <c r="L94" s="6" t="s">
        <v>83</v>
      </c>
      <c r="M94" s="6" t="s">
        <v>77</v>
      </c>
      <c r="N94" s="6" t="s">
        <v>149</v>
      </c>
      <c r="O94" s="6" t="s">
        <v>811</v>
      </c>
      <c r="P94" s="6" t="s">
        <v>184</v>
      </c>
      <c r="Q94" s="7" t="n">
        <f aca="false">IFERROR(INDEX(Wastage_Factors!$B$2:$B$60,MATCH(P94,Wastage_Factors!$A$2:$A$60,0)),0)</f>
        <v>0.05</v>
      </c>
      <c r="R94" s="6" t="s">
        <v>244</v>
      </c>
      <c r="S94" s="6" t="s">
        <v>87</v>
      </c>
      <c r="T94" s="6" t="s">
        <v>88</v>
      </c>
      <c r="U94" s="6" t="s">
        <v>83</v>
      </c>
      <c r="V94" s="6"/>
    </row>
    <row r="95" customFormat="false" ht="32.8" hidden="false" customHeight="false" outlineLevel="0" collapsed="false">
      <c r="A95" s="6" t="s">
        <v>886</v>
      </c>
      <c r="B95" s="6" t="s">
        <v>887</v>
      </c>
      <c r="C95" s="6" t="s">
        <v>888</v>
      </c>
      <c r="D95" s="6" t="s">
        <v>889</v>
      </c>
      <c r="E95" s="6" t="s">
        <v>890</v>
      </c>
      <c r="F95" s="6" t="s">
        <v>143</v>
      </c>
      <c r="G95" s="6" t="s">
        <v>891</v>
      </c>
      <c r="H95" s="6" t="s">
        <v>892</v>
      </c>
      <c r="I95" s="6" t="s">
        <v>893</v>
      </c>
      <c r="J95" s="6" t="s">
        <v>894</v>
      </c>
      <c r="K95" s="6" t="s">
        <v>242</v>
      </c>
      <c r="L95" s="6" t="s">
        <v>83</v>
      </c>
      <c r="M95" s="6" t="s">
        <v>77</v>
      </c>
      <c r="N95" s="6" t="s">
        <v>149</v>
      </c>
      <c r="O95" s="6" t="s">
        <v>895</v>
      </c>
      <c r="P95" s="6" t="s">
        <v>465</v>
      </c>
      <c r="Q95" s="7" t="n">
        <f aca="false">IFERROR(INDEX(Wastage_Factors!$B$2:$B$60,MATCH(P95,Wastage_Factors!$A$2:$A$60,0)),0)</f>
        <v>0.15</v>
      </c>
      <c r="R95" s="6" t="s">
        <v>307</v>
      </c>
      <c r="S95" s="6" t="s">
        <v>99</v>
      </c>
      <c r="T95" s="6" t="s">
        <v>225</v>
      </c>
      <c r="U95" s="6" t="s">
        <v>896</v>
      </c>
      <c r="V95" s="6" t="s">
        <v>897</v>
      </c>
    </row>
    <row r="96" customFormat="false" ht="22.35" hidden="false" customHeight="false" outlineLevel="0" collapsed="false">
      <c r="A96" s="6" t="s">
        <v>898</v>
      </c>
      <c r="B96" s="6" t="s">
        <v>887</v>
      </c>
      <c r="C96" s="6" t="s">
        <v>899</v>
      </c>
      <c r="D96" s="6" t="s">
        <v>900</v>
      </c>
      <c r="E96" s="6" t="s">
        <v>901</v>
      </c>
      <c r="F96" s="6" t="s">
        <v>182</v>
      </c>
      <c r="G96" s="6" t="s">
        <v>902</v>
      </c>
      <c r="H96" s="6" t="s">
        <v>903</v>
      </c>
      <c r="I96" s="6" t="s">
        <v>904</v>
      </c>
      <c r="J96" s="6"/>
      <c r="K96" s="6" t="s">
        <v>242</v>
      </c>
      <c r="L96" s="6" t="s">
        <v>83</v>
      </c>
      <c r="M96" s="6" t="s">
        <v>182</v>
      </c>
      <c r="N96" s="6" t="s">
        <v>149</v>
      </c>
      <c r="O96" s="6" t="s">
        <v>905</v>
      </c>
      <c r="P96" s="6" t="s">
        <v>465</v>
      </c>
      <c r="Q96" s="7" t="n">
        <f aca="false">IFERROR(INDEX(Wastage_Factors!$B$2:$B$60,MATCH(P96,Wastage_Factors!$A$2:$A$60,0)),0)</f>
        <v>0.15</v>
      </c>
      <c r="R96" s="6" t="s">
        <v>244</v>
      </c>
      <c r="S96" s="6" t="s">
        <v>99</v>
      </c>
      <c r="T96" s="6" t="s">
        <v>225</v>
      </c>
      <c r="U96" s="6" t="s">
        <v>906</v>
      </c>
      <c r="V96" s="6" t="s">
        <v>897</v>
      </c>
    </row>
    <row r="97" customFormat="false" ht="22.35" hidden="false" customHeight="false" outlineLevel="0" collapsed="false">
      <c r="A97" s="6" t="s">
        <v>907</v>
      </c>
      <c r="B97" s="6" t="s">
        <v>887</v>
      </c>
      <c r="C97" s="6" t="s">
        <v>899</v>
      </c>
      <c r="D97" s="6" t="s">
        <v>908</v>
      </c>
      <c r="E97" s="6" t="s">
        <v>909</v>
      </c>
      <c r="F97" s="6" t="s">
        <v>182</v>
      </c>
      <c r="G97" s="6" t="s">
        <v>910</v>
      </c>
      <c r="H97" s="6" t="s">
        <v>911</v>
      </c>
      <c r="I97" s="6" t="s">
        <v>904</v>
      </c>
      <c r="J97" s="6"/>
      <c r="K97" s="6" t="s">
        <v>242</v>
      </c>
      <c r="L97" s="6" t="s">
        <v>83</v>
      </c>
      <c r="M97" s="6" t="s">
        <v>182</v>
      </c>
      <c r="N97" s="6" t="s">
        <v>912</v>
      </c>
      <c r="O97" s="6"/>
      <c r="P97" s="6" t="s">
        <v>465</v>
      </c>
      <c r="Q97" s="7" t="n">
        <f aca="false">IFERROR(INDEX(Wastage_Factors!$B$2:$B$60,MATCH(P97,Wastage_Factors!$A$2:$A$60,0)),0)</f>
        <v>0.15</v>
      </c>
      <c r="R97" s="6" t="s">
        <v>244</v>
      </c>
      <c r="S97" s="6" t="s">
        <v>535</v>
      </c>
      <c r="T97" s="6" t="s">
        <v>88</v>
      </c>
      <c r="U97" s="6" t="s">
        <v>913</v>
      </c>
      <c r="V97" s="6"/>
    </row>
    <row r="98" customFormat="false" ht="22.35" hidden="false" customHeight="false" outlineLevel="0" collapsed="false">
      <c r="A98" s="6" t="s">
        <v>914</v>
      </c>
      <c r="B98" s="6" t="s">
        <v>887</v>
      </c>
      <c r="C98" s="6" t="s">
        <v>899</v>
      </c>
      <c r="D98" s="6" t="s">
        <v>915</v>
      </c>
      <c r="E98" s="6" t="s">
        <v>916</v>
      </c>
      <c r="F98" s="6" t="s">
        <v>115</v>
      </c>
      <c r="G98" s="6" t="s">
        <v>917</v>
      </c>
      <c r="H98" s="6" t="s">
        <v>918</v>
      </c>
      <c r="I98" s="6" t="s">
        <v>904</v>
      </c>
      <c r="J98" s="6"/>
      <c r="K98" s="6" t="s">
        <v>242</v>
      </c>
      <c r="L98" s="6" t="s">
        <v>83</v>
      </c>
      <c r="M98" s="6" t="s">
        <v>115</v>
      </c>
      <c r="N98" s="6" t="s">
        <v>919</v>
      </c>
      <c r="O98" s="6"/>
      <c r="P98" s="6" t="s">
        <v>85</v>
      </c>
      <c r="Q98" s="7" t="n">
        <f aca="false">IFERROR(INDEX(Wastage_Factors!$B$2:$B$60,MATCH(P98,Wastage_Factors!$A$2:$A$60,0)),0)</f>
        <v>0</v>
      </c>
      <c r="R98" s="6" t="s">
        <v>244</v>
      </c>
      <c r="S98" s="6" t="s">
        <v>99</v>
      </c>
      <c r="T98" s="6" t="s">
        <v>225</v>
      </c>
      <c r="U98" s="6" t="s">
        <v>920</v>
      </c>
      <c r="V98" s="6"/>
    </row>
    <row r="99" customFormat="false" ht="22.35" hidden="false" customHeight="false" outlineLevel="0" collapsed="false">
      <c r="A99" s="6" t="s">
        <v>921</v>
      </c>
      <c r="B99" s="6" t="s">
        <v>887</v>
      </c>
      <c r="C99" s="6" t="s">
        <v>899</v>
      </c>
      <c r="D99" s="6" t="s">
        <v>922</v>
      </c>
      <c r="E99" s="6" t="s">
        <v>923</v>
      </c>
      <c r="F99" s="6" t="s">
        <v>115</v>
      </c>
      <c r="G99" s="6" t="s">
        <v>924</v>
      </c>
      <c r="H99" s="6" t="s">
        <v>925</v>
      </c>
      <c r="I99" s="6" t="s">
        <v>904</v>
      </c>
      <c r="J99" s="6"/>
      <c r="K99" s="6" t="s">
        <v>242</v>
      </c>
      <c r="L99" s="6" t="s">
        <v>83</v>
      </c>
      <c r="M99" s="6" t="s">
        <v>115</v>
      </c>
      <c r="N99" s="6" t="s">
        <v>926</v>
      </c>
      <c r="O99" s="6"/>
      <c r="P99" s="6" t="s">
        <v>85</v>
      </c>
      <c r="Q99" s="7" t="n">
        <f aca="false">IFERROR(INDEX(Wastage_Factors!$B$2:$B$60,MATCH(P99,Wastage_Factors!$A$2:$A$60,0)),0)</f>
        <v>0</v>
      </c>
      <c r="R99" s="6" t="s">
        <v>244</v>
      </c>
      <c r="S99" s="6" t="s">
        <v>99</v>
      </c>
      <c r="T99" s="6" t="s">
        <v>225</v>
      </c>
      <c r="U99" s="6" t="s">
        <v>927</v>
      </c>
      <c r="V99" s="6"/>
    </row>
    <row r="100" customFormat="false" ht="43.25" hidden="false" customHeight="false" outlineLevel="0" collapsed="false">
      <c r="A100" s="6" t="s">
        <v>928</v>
      </c>
      <c r="B100" s="6" t="s">
        <v>887</v>
      </c>
      <c r="C100" s="6" t="s">
        <v>929</v>
      </c>
      <c r="D100" s="6" t="s">
        <v>930</v>
      </c>
      <c r="E100" s="6" t="s">
        <v>931</v>
      </c>
      <c r="F100" s="6" t="s">
        <v>932</v>
      </c>
      <c r="G100" s="6" t="s">
        <v>933</v>
      </c>
      <c r="H100" s="6" t="s">
        <v>934</v>
      </c>
      <c r="I100" s="6" t="s">
        <v>935</v>
      </c>
      <c r="J100" s="6" t="s">
        <v>936</v>
      </c>
      <c r="K100" s="6" t="s">
        <v>242</v>
      </c>
      <c r="L100" s="6" t="s">
        <v>83</v>
      </c>
      <c r="M100" s="6" t="s">
        <v>115</v>
      </c>
      <c r="N100" s="6" t="s">
        <v>149</v>
      </c>
      <c r="O100" s="6" t="s">
        <v>937</v>
      </c>
      <c r="P100" s="6" t="s">
        <v>85</v>
      </c>
      <c r="Q100" s="7" t="n">
        <f aca="false">IFERROR(INDEX(Wastage_Factors!$B$2:$B$60,MATCH(P100,Wastage_Factors!$A$2:$A$60,0)),0)</f>
        <v>0</v>
      </c>
      <c r="R100" s="6" t="s">
        <v>938</v>
      </c>
      <c r="S100" s="6" t="s">
        <v>99</v>
      </c>
      <c r="T100" s="6" t="s">
        <v>88</v>
      </c>
      <c r="U100" s="6" t="s">
        <v>913</v>
      </c>
      <c r="V100" s="6"/>
    </row>
    <row r="101" customFormat="false" ht="22.35" hidden="false" customHeight="false" outlineLevel="0" collapsed="false">
      <c r="A101" s="6" t="s">
        <v>939</v>
      </c>
      <c r="B101" s="6" t="s">
        <v>887</v>
      </c>
      <c r="C101" s="6" t="s">
        <v>929</v>
      </c>
      <c r="D101" s="6" t="s">
        <v>940</v>
      </c>
      <c r="E101" s="6" t="s">
        <v>941</v>
      </c>
      <c r="F101" s="6" t="s">
        <v>115</v>
      </c>
      <c r="G101" s="6" t="s">
        <v>942</v>
      </c>
      <c r="H101" s="6" t="s">
        <v>943</v>
      </c>
      <c r="I101" s="6" t="s">
        <v>904</v>
      </c>
      <c r="J101" s="6"/>
      <c r="K101" s="6" t="s">
        <v>242</v>
      </c>
      <c r="L101" s="6" t="s">
        <v>944</v>
      </c>
      <c r="M101" s="6" t="s">
        <v>115</v>
      </c>
      <c r="N101" s="6" t="s">
        <v>945</v>
      </c>
      <c r="O101" s="6"/>
      <c r="P101" s="6" t="s">
        <v>85</v>
      </c>
      <c r="Q101" s="7" t="n">
        <f aca="false">IFERROR(INDEX(Wastage_Factors!$B$2:$B$60,MATCH(P101,Wastage_Factors!$A$2:$A$60,0)),0)</f>
        <v>0</v>
      </c>
      <c r="R101" s="6" t="s">
        <v>938</v>
      </c>
      <c r="S101" s="6" t="s">
        <v>87</v>
      </c>
      <c r="T101" s="6" t="s">
        <v>88</v>
      </c>
      <c r="U101" s="6" t="s">
        <v>83</v>
      </c>
      <c r="V101" s="6"/>
    </row>
    <row r="102" customFormat="false" ht="22.35" hidden="false" customHeight="false" outlineLevel="0" collapsed="false">
      <c r="A102" s="6" t="s">
        <v>946</v>
      </c>
      <c r="B102" s="6" t="s">
        <v>887</v>
      </c>
      <c r="C102" s="6" t="s">
        <v>947</v>
      </c>
      <c r="D102" s="6" t="s">
        <v>948</v>
      </c>
      <c r="E102" s="6" t="s">
        <v>949</v>
      </c>
      <c r="F102" s="6" t="s">
        <v>115</v>
      </c>
      <c r="G102" s="6" t="s">
        <v>950</v>
      </c>
      <c r="H102" s="6" t="s">
        <v>892</v>
      </c>
      <c r="I102" s="6" t="s">
        <v>904</v>
      </c>
      <c r="J102" s="6"/>
      <c r="K102" s="6" t="s">
        <v>242</v>
      </c>
      <c r="L102" s="6" t="s">
        <v>83</v>
      </c>
      <c r="M102" s="6" t="s">
        <v>115</v>
      </c>
      <c r="N102" s="6" t="s">
        <v>149</v>
      </c>
      <c r="O102" s="6" t="s">
        <v>895</v>
      </c>
      <c r="P102" s="6" t="s">
        <v>184</v>
      </c>
      <c r="Q102" s="7" t="n">
        <f aca="false">IFERROR(INDEX(Wastage_Factors!$B$2:$B$60,MATCH(P102,Wastage_Factors!$A$2:$A$60,0)),0)</f>
        <v>0.05</v>
      </c>
      <c r="R102" s="6" t="s">
        <v>307</v>
      </c>
      <c r="S102" s="6" t="s">
        <v>99</v>
      </c>
      <c r="T102" s="6" t="s">
        <v>88</v>
      </c>
      <c r="U102" s="6" t="s">
        <v>83</v>
      </c>
      <c r="V102" s="6" t="s">
        <v>897</v>
      </c>
    </row>
    <row r="103" customFormat="false" ht="32.8" hidden="false" customHeight="false" outlineLevel="0" collapsed="false">
      <c r="A103" s="6" t="s">
        <v>951</v>
      </c>
      <c r="B103" s="6" t="s">
        <v>887</v>
      </c>
      <c r="C103" s="6" t="s">
        <v>952</v>
      </c>
      <c r="D103" s="6" t="s">
        <v>953</v>
      </c>
      <c r="E103" s="6" t="s">
        <v>954</v>
      </c>
      <c r="F103" s="6" t="s">
        <v>182</v>
      </c>
      <c r="G103" s="6" t="s">
        <v>955</v>
      </c>
      <c r="H103" s="6" t="s">
        <v>956</v>
      </c>
      <c r="I103" s="6" t="s">
        <v>957</v>
      </c>
      <c r="J103" s="6" t="s">
        <v>958</v>
      </c>
      <c r="K103" s="6" t="s">
        <v>242</v>
      </c>
      <c r="L103" s="6" t="s">
        <v>83</v>
      </c>
      <c r="M103" s="6" t="s">
        <v>182</v>
      </c>
      <c r="N103" s="6" t="s">
        <v>149</v>
      </c>
      <c r="O103" s="6" t="s">
        <v>959</v>
      </c>
      <c r="P103" s="6" t="s">
        <v>960</v>
      </c>
      <c r="Q103" s="7" t="n">
        <f aca="false">IFERROR(INDEX(Wastage_Factors!$B$2:$B$60,MATCH(P103,Wastage_Factors!$A$2:$A$60,0)),0)</f>
        <v>0.05</v>
      </c>
      <c r="R103" s="6" t="s">
        <v>244</v>
      </c>
      <c r="S103" s="6" t="s">
        <v>99</v>
      </c>
      <c r="T103" s="6" t="s">
        <v>109</v>
      </c>
      <c r="U103" s="6" t="s">
        <v>961</v>
      </c>
      <c r="V103" s="6" t="s">
        <v>962</v>
      </c>
    </row>
    <row r="104" customFormat="false" ht="22.35" hidden="false" customHeight="false" outlineLevel="0" collapsed="false">
      <c r="A104" s="6" t="s">
        <v>963</v>
      </c>
      <c r="B104" s="6" t="s">
        <v>887</v>
      </c>
      <c r="C104" s="6" t="s">
        <v>952</v>
      </c>
      <c r="D104" s="6" t="s">
        <v>964</v>
      </c>
      <c r="E104" s="6" t="s">
        <v>965</v>
      </c>
      <c r="F104" s="6" t="s">
        <v>182</v>
      </c>
      <c r="G104" s="6" t="s">
        <v>966</v>
      </c>
      <c r="H104" s="6" t="s">
        <v>967</v>
      </c>
      <c r="I104" s="6" t="s">
        <v>968</v>
      </c>
      <c r="J104" s="6"/>
      <c r="K104" s="6" t="s">
        <v>242</v>
      </c>
      <c r="L104" s="6" t="s">
        <v>969</v>
      </c>
      <c r="M104" s="6" t="s">
        <v>182</v>
      </c>
      <c r="N104" s="6" t="s">
        <v>970</v>
      </c>
      <c r="O104" s="6"/>
      <c r="P104" s="6" t="s">
        <v>960</v>
      </c>
      <c r="Q104" s="7" t="n">
        <f aca="false">IFERROR(INDEX(Wastage_Factors!$B$2:$B$60,MATCH(P104,Wastage_Factors!$A$2:$A$60,0)),0)</f>
        <v>0.05</v>
      </c>
      <c r="R104" s="6" t="s">
        <v>244</v>
      </c>
      <c r="S104" s="6" t="s">
        <v>535</v>
      </c>
      <c r="T104" s="6" t="s">
        <v>88</v>
      </c>
      <c r="U104" s="6" t="s">
        <v>83</v>
      </c>
      <c r="V104" s="6"/>
    </row>
    <row r="105" customFormat="false" ht="22.35" hidden="false" customHeight="false" outlineLevel="0" collapsed="false">
      <c r="A105" s="6" t="s">
        <v>971</v>
      </c>
      <c r="B105" s="6" t="s">
        <v>887</v>
      </c>
      <c r="C105" s="6" t="s">
        <v>972</v>
      </c>
      <c r="D105" s="6" t="s">
        <v>973</v>
      </c>
      <c r="E105" s="6" t="s">
        <v>974</v>
      </c>
      <c r="F105" s="6" t="s">
        <v>182</v>
      </c>
      <c r="G105" s="6" t="s">
        <v>975</v>
      </c>
      <c r="H105" s="6" t="s">
        <v>956</v>
      </c>
      <c r="I105" s="6" t="s">
        <v>968</v>
      </c>
      <c r="J105" s="6"/>
      <c r="K105" s="6" t="s">
        <v>242</v>
      </c>
      <c r="L105" s="6" t="s">
        <v>976</v>
      </c>
      <c r="M105" s="6" t="s">
        <v>182</v>
      </c>
      <c r="N105" s="6" t="s">
        <v>149</v>
      </c>
      <c r="O105" s="6" t="s">
        <v>959</v>
      </c>
      <c r="P105" s="6" t="s">
        <v>977</v>
      </c>
      <c r="Q105" s="7" t="n">
        <f aca="false">IFERROR(INDEX(Wastage_Factors!$B$2:$B$60,MATCH(P105,Wastage_Factors!$A$2:$A$60,0)),0)</f>
        <v>0.05</v>
      </c>
      <c r="R105" s="6" t="s">
        <v>244</v>
      </c>
      <c r="S105" s="6" t="s">
        <v>99</v>
      </c>
      <c r="T105" s="6" t="s">
        <v>109</v>
      </c>
      <c r="U105" s="6" t="s">
        <v>83</v>
      </c>
      <c r="V105" s="6" t="s">
        <v>962</v>
      </c>
    </row>
    <row r="106" customFormat="false" ht="22.35" hidden="false" customHeight="false" outlineLevel="0" collapsed="false">
      <c r="A106" s="6" t="s">
        <v>978</v>
      </c>
      <c r="B106" s="6" t="s">
        <v>887</v>
      </c>
      <c r="C106" s="6" t="s">
        <v>972</v>
      </c>
      <c r="D106" s="6" t="s">
        <v>979</v>
      </c>
      <c r="E106" s="6" t="s">
        <v>980</v>
      </c>
      <c r="F106" s="6" t="s">
        <v>182</v>
      </c>
      <c r="G106" s="6" t="s">
        <v>981</v>
      </c>
      <c r="H106" s="6" t="s">
        <v>982</v>
      </c>
      <c r="I106" s="6" t="s">
        <v>983</v>
      </c>
      <c r="J106" s="6"/>
      <c r="K106" s="6" t="s">
        <v>242</v>
      </c>
      <c r="L106" s="6" t="s">
        <v>984</v>
      </c>
      <c r="M106" s="6" t="s">
        <v>182</v>
      </c>
      <c r="N106" s="6" t="s">
        <v>985</v>
      </c>
      <c r="O106" s="6"/>
      <c r="P106" s="6" t="s">
        <v>977</v>
      </c>
      <c r="Q106" s="7" t="n">
        <f aca="false">IFERROR(INDEX(Wastage_Factors!$B$2:$B$60,MATCH(P106,Wastage_Factors!$A$2:$A$60,0)),0)</f>
        <v>0.05</v>
      </c>
      <c r="R106" s="6" t="s">
        <v>244</v>
      </c>
      <c r="S106" s="6" t="s">
        <v>87</v>
      </c>
      <c r="T106" s="6" t="s">
        <v>88</v>
      </c>
      <c r="U106" s="6" t="s">
        <v>986</v>
      </c>
      <c r="V106" s="6"/>
    </row>
    <row r="107" customFormat="false" ht="22.35" hidden="false" customHeight="false" outlineLevel="0" collapsed="false">
      <c r="A107" s="6" t="s">
        <v>987</v>
      </c>
      <c r="B107" s="6" t="s">
        <v>887</v>
      </c>
      <c r="C107" s="6" t="s">
        <v>988</v>
      </c>
      <c r="D107" s="6" t="s">
        <v>989</v>
      </c>
      <c r="E107" s="6" t="s">
        <v>990</v>
      </c>
      <c r="F107" s="6" t="s">
        <v>238</v>
      </c>
      <c r="G107" s="6" t="s">
        <v>991</v>
      </c>
      <c r="H107" s="6" t="s">
        <v>992</v>
      </c>
      <c r="I107" s="6" t="s">
        <v>993</v>
      </c>
      <c r="J107" s="6"/>
      <c r="K107" s="6" t="s">
        <v>242</v>
      </c>
      <c r="L107" s="6" t="s">
        <v>83</v>
      </c>
      <c r="M107" s="6" t="s">
        <v>182</v>
      </c>
      <c r="N107" s="6" t="s">
        <v>149</v>
      </c>
      <c r="O107" s="6" t="s">
        <v>994</v>
      </c>
      <c r="P107" s="6" t="s">
        <v>422</v>
      </c>
      <c r="Q107" s="7" t="n">
        <f aca="false">IFERROR(INDEX(Wastage_Factors!$B$2:$B$60,MATCH(P107,Wastage_Factors!$A$2:$A$60,0)),0)</f>
        <v>0.05</v>
      </c>
      <c r="R107" s="6" t="s">
        <v>244</v>
      </c>
      <c r="S107" s="6" t="s">
        <v>99</v>
      </c>
      <c r="T107" s="6" t="s">
        <v>88</v>
      </c>
      <c r="U107" s="6" t="s">
        <v>83</v>
      </c>
      <c r="V107" s="6"/>
    </row>
    <row r="108" customFormat="false" ht="22.35" hidden="false" customHeight="false" outlineLevel="0" collapsed="false">
      <c r="A108" s="6" t="s">
        <v>995</v>
      </c>
      <c r="B108" s="6" t="s">
        <v>887</v>
      </c>
      <c r="C108" s="6" t="s">
        <v>996</v>
      </c>
      <c r="D108" s="6" t="s">
        <v>997</v>
      </c>
      <c r="E108" s="6" t="s">
        <v>998</v>
      </c>
      <c r="F108" s="6" t="s">
        <v>182</v>
      </c>
      <c r="G108" s="6" t="s">
        <v>999</v>
      </c>
      <c r="H108" s="6" t="s">
        <v>956</v>
      </c>
      <c r="I108" s="6" t="s">
        <v>968</v>
      </c>
      <c r="J108" s="6"/>
      <c r="K108" s="6" t="s">
        <v>242</v>
      </c>
      <c r="L108" s="6" t="s">
        <v>83</v>
      </c>
      <c r="M108" s="6" t="s">
        <v>182</v>
      </c>
      <c r="N108" s="6" t="s">
        <v>149</v>
      </c>
      <c r="O108" s="6" t="s">
        <v>959</v>
      </c>
      <c r="P108" s="6" t="s">
        <v>184</v>
      </c>
      <c r="Q108" s="7" t="n">
        <f aca="false">IFERROR(INDEX(Wastage_Factors!$B$2:$B$60,MATCH(P108,Wastage_Factors!$A$2:$A$60,0)),0)</f>
        <v>0.05</v>
      </c>
      <c r="R108" s="6" t="s">
        <v>244</v>
      </c>
      <c r="S108" s="6" t="s">
        <v>99</v>
      </c>
      <c r="T108" s="6" t="s">
        <v>88</v>
      </c>
      <c r="U108" s="6" t="s">
        <v>83</v>
      </c>
      <c r="V108" s="6" t="s">
        <v>962</v>
      </c>
    </row>
    <row r="109" customFormat="false" ht="22.35" hidden="false" customHeight="false" outlineLevel="0" collapsed="false">
      <c r="A109" s="6" t="s">
        <v>1000</v>
      </c>
      <c r="B109" s="6" t="s">
        <v>887</v>
      </c>
      <c r="C109" s="6" t="s">
        <v>1001</v>
      </c>
      <c r="D109" s="6" t="s">
        <v>1002</v>
      </c>
      <c r="E109" s="6" t="s">
        <v>1003</v>
      </c>
      <c r="F109" s="6" t="s">
        <v>182</v>
      </c>
      <c r="G109" s="6" t="s">
        <v>1004</v>
      </c>
      <c r="H109" s="6" t="s">
        <v>1005</v>
      </c>
      <c r="I109" s="6" t="s">
        <v>968</v>
      </c>
      <c r="J109" s="6"/>
      <c r="K109" s="6" t="s">
        <v>242</v>
      </c>
      <c r="L109" s="6" t="s">
        <v>83</v>
      </c>
      <c r="M109" s="6" t="s">
        <v>182</v>
      </c>
      <c r="N109" s="6" t="s">
        <v>1006</v>
      </c>
      <c r="O109" s="6"/>
      <c r="P109" s="6" t="s">
        <v>960</v>
      </c>
      <c r="Q109" s="7" t="n">
        <f aca="false">IFERROR(INDEX(Wastage_Factors!$B$2:$B$60,MATCH(P109,Wastage_Factors!$A$2:$A$60,0)),0)</f>
        <v>0.05</v>
      </c>
      <c r="R109" s="6" t="s">
        <v>244</v>
      </c>
      <c r="S109" s="6" t="s">
        <v>99</v>
      </c>
      <c r="T109" s="6" t="s">
        <v>225</v>
      </c>
      <c r="U109" s="6" t="s">
        <v>1007</v>
      </c>
      <c r="V109" s="6"/>
    </row>
    <row r="110" customFormat="false" ht="22.35" hidden="false" customHeight="false" outlineLevel="0" collapsed="false">
      <c r="A110" s="6" t="s">
        <v>1008</v>
      </c>
      <c r="B110" s="6" t="s">
        <v>887</v>
      </c>
      <c r="C110" s="6" t="s">
        <v>693</v>
      </c>
      <c r="D110" s="6" t="s">
        <v>1009</v>
      </c>
      <c r="E110" s="6" t="s">
        <v>1010</v>
      </c>
      <c r="F110" s="6" t="s">
        <v>696</v>
      </c>
      <c r="G110" s="6" t="s">
        <v>1011</v>
      </c>
      <c r="H110" s="6" t="s">
        <v>956</v>
      </c>
      <c r="I110" s="6" t="s">
        <v>968</v>
      </c>
      <c r="J110" s="6"/>
      <c r="K110" s="6" t="s">
        <v>242</v>
      </c>
      <c r="L110" s="6" t="s">
        <v>83</v>
      </c>
      <c r="M110" s="6" t="s">
        <v>115</v>
      </c>
      <c r="N110" s="6" t="s">
        <v>149</v>
      </c>
      <c r="O110" s="6" t="s">
        <v>959</v>
      </c>
      <c r="P110" s="6" t="s">
        <v>184</v>
      </c>
      <c r="Q110" s="7" t="n">
        <f aca="false">IFERROR(INDEX(Wastage_Factors!$B$2:$B$60,MATCH(P110,Wastage_Factors!$A$2:$A$60,0)),0)</f>
        <v>0.05</v>
      </c>
      <c r="R110" s="6" t="s">
        <v>244</v>
      </c>
      <c r="S110" s="6" t="s">
        <v>99</v>
      </c>
      <c r="T110" s="6" t="s">
        <v>88</v>
      </c>
      <c r="U110" s="6" t="s">
        <v>83</v>
      </c>
      <c r="V110" s="6" t="s">
        <v>962</v>
      </c>
    </row>
    <row r="111" customFormat="false" ht="22.35" hidden="false" customHeight="false" outlineLevel="0" collapsed="false">
      <c r="A111" s="6" t="s">
        <v>1012</v>
      </c>
      <c r="B111" s="6" t="s">
        <v>887</v>
      </c>
      <c r="C111" s="6" t="s">
        <v>899</v>
      </c>
      <c r="D111" s="6" t="s">
        <v>1013</v>
      </c>
      <c r="E111" s="6" t="s">
        <v>1014</v>
      </c>
      <c r="F111" s="6" t="s">
        <v>115</v>
      </c>
      <c r="G111" s="6" t="s">
        <v>1015</v>
      </c>
      <c r="H111" s="6" t="s">
        <v>925</v>
      </c>
      <c r="I111" s="6" t="s">
        <v>904</v>
      </c>
      <c r="J111" s="6"/>
      <c r="K111" s="6" t="s">
        <v>242</v>
      </c>
      <c r="L111" s="6" t="s">
        <v>83</v>
      </c>
      <c r="M111" s="6" t="s">
        <v>115</v>
      </c>
      <c r="N111" s="6" t="s">
        <v>1016</v>
      </c>
      <c r="O111" s="6"/>
      <c r="P111" s="6" t="s">
        <v>85</v>
      </c>
      <c r="Q111" s="7" t="n">
        <f aca="false">IFERROR(INDEX(Wastage_Factors!$B$2:$B$60,MATCH(P111,Wastage_Factors!$A$2:$A$60,0)),0)</f>
        <v>0</v>
      </c>
      <c r="R111" s="6" t="s">
        <v>244</v>
      </c>
      <c r="S111" s="6" t="s">
        <v>99</v>
      </c>
      <c r="T111" s="6" t="s">
        <v>225</v>
      </c>
      <c r="U111" s="6" t="s">
        <v>1017</v>
      </c>
      <c r="V111" s="6"/>
    </row>
    <row r="112" customFormat="false" ht="22.35" hidden="false" customHeight="false" outlineLevel="0" collapsed="false">
      <c r="A112" s="6" t="s">
        <v>1018</v>
      </c>
      <c r="B112" s="6" t="s">
        <v>887</v>
      </c>
      <c r="C112" s="6" t="s">
        <v>899</v>
      </c>
      <c r="D112" s="6" t="s">
        <v>1019</v>
      </c>
      <c r="E112" s="6" t="s">
        <v>1020</v>
      </c>
      <c r="F112" s="6" t="s">
        <v>182</v>
      </c>
      <c r="G112" s="6" t="s">
        <v>1021</v>
      </c>
      <c r="H112" s="6" t="s">
        <v>1022</v>
      </c>
      <c r="I112" s="6" t="s">
        <v>1023</v>
      </c>
      <c r="J112" s="6"/>
      <c r="K112" s="6" t="s">
        <v>242</v>
      </c>
      <c r="L112" s="6" t="s">
        <v>83</v>
      </c>
      <c r="M112" s="6" t="s">
        <v>182</v>
      </c>
      <c r="N112" s="6" t="s">
        <v>1024</v>
      </c>
      <c r="O112" s="6"/>
      <c r="P112" s="6" t="s">
        <v>85</v>
      </c>
      <c r="Q112" s="7" t="n">
        <f aca="false">IFERROR(INDEX(Wastage_Factors!$B$2:$B$60,MATCH(P112,Wastage_Factors!$A$2:$A$60,0)),0)</f>
        <v>0</v>
      </c>
      <c r="R112" s="6" t="s">
        <v>202</v>
      </c>
      <c r="S112" s="6" t="s">
        <v>87</v>
      </c>
      <c r="T112" s="6" t="s">
        <v>88</v>
      </c>
      <c r="U112" s="6" t="s">
        <v>83</v>
      </c>
      <c r="V112" s="6"/>
    </row>
    <row r="113" customFormat="false" ht="22.35" hidden="false" customHeight="false" outlineLevel="0" collapsed="false">
      <c r="A113" s="6" t="s">
        <v>1025</v>
      </c>
      <c r="B113" s="6" t="s">
        <v>1026</v>
      </c>
      <c r="C113" s="6" t="s">
        <v>732</v>
      </c>
      <c r="D113" s="6" t="s">
        <v>1027</v>
      </c>
      <c r="E113" s="6" t="s">
        <v>1028</v>
      </c>
      <c r="F113" s="6" t="s">
        <v>182</v>
      </c>
      <c r="G113" s="6" t="s">
        <v>1029</v>
      </c>
      <c r="H113" s="6" t="s">
        <v>1030</v>
      </c>
      <c r="I113" s="6" t="s">
        <v>1031</v>
      </c>
      <c r="J113" s="6" t="s">
        <v>1032</v>
      </c>
      <c r="K113" s="6" t="s">
        <v>242</v>
      </c>
      <c r="L113" s="6" t="s">
        <v>1033</v>
      </c>
      <c r="M113" s="6" t="s">
        <v>182</v>
      </c>
      <c r="N113" s="6" t="s">
        <v>149</v>
      </c>
      <c r="O113" s="6" t="s">
        <v>1034</v>
      </c>
      <c r="P113" s="6" t="s">
        <v>1035</v>
      </c>
      <c r="Q113" s="7" t="n">
        <f aca="false">IFERROR(INDEX(Wastage_Factors!$B$2:$B$60,MATCH(P113,Wastage_Factors!$A$2:$A$60,0)),0)</f>
        <v>0.08</v>
      </c>
      <c r="R113" s="6" t="s">
        <v>244</v>
      </c>
      <c r="S113" s="6" t="s">
        <v>87</v>
      </c>
      <c r="T113" s="6" t="s">
        <v>88</v>
      </c>
      <c r="U113" s="6" t="s">
        <v>1036</v>
      </c>
      <c r="V113" s="6"/>
    </row>
    <row r="114" customFormat="false" ht="22.35" hidden="false" customHeight="false" outlineLevel="0" collapsed="false">
      <c r="A114" s="6" t="s">
        <v>1037</v>
      </c>
      <c r="B114" s="6" t="s">
        <v>1026</v>
      </c>
      <c r="C114" s="6" t="s">
        <v>1038</v>
      </c>
      <c r="D114" s="6" t="s">
        <v>1039</v>
      </c>
      <c r="E114" s="6" t="s">
        <v>1040</v>
      </c>
      <c r="F114" s="6" t="s">
        <v>77</v>
      </c>
      <c r="G114" s="6" t="s">
        <v>1041</v>
      </c>
      <c r="H114" s="6" t="s">
        <v>1030</v>
      </c>
      <c r="I114" s="6" t="s">
        <v>241</v>
      </c>
      <c r="J114" s="6"/>
      <c r="K114" s="6" t="s">
        <v>242</v>
      </c>
      <c r="L114" s="6" t="s">
        <v>83</v>
      </c>
      <c r="M114" s="6" t="s">
        <v>77</v>
      </c>
      <c r="N114" s="6" t="s">
        <v>149</v>
      </c>
      <c r="O114" s="6" t="s">
        <v>1034</v>
      </c>
      <c r="P114" s="6" t="s">
        <v>184</v>
      </c>
      <c r="Q114" s="7" t="n">
        <f aca="false">IFERROR(INDEX(Wastage_Factors!$B$2:$B$60,MATCH(P114,Wastage_Factors!$A$2:$A$60,0)),0)</f>
        <v>0.05</v>
      </c>
      <c r="R114" s="6" t="s">
        <v>244</v>
      </c>
      <c r="S114" s="6" t="s">
        <v>87</v>
      </c>
      <c r="T114" s="6" t="s">
        <v>88</v>
      </c>
      <c r="U114" s="6" t="s">
        <v>83</v>
      </c>
      <c r="V114" s="6"/>
    </row>
    <row r="115" customFormat="false" ht="22.35" hidden="false" customHeight="false" outlineLevel="0" collapsed="false">
      <c r="A115" s="6" t="s">
        <v>1042</v>
      </c>
      <c r="B115" s="6" t="s">
        <v>1026</v>
      </c>
      <c r="C115" s="6" t="s">
        <v>1043</v>
      </c>
      <c r="D115" s="6" t="s">
        <v>1044</v>
      </c>
      <c r="E115" s="6" t="s">
        <v>1045</v>
      </c>
      <c r="F115" s="6" t="s">
        <v>182</v>
      </c>
      <c r="G115" s="6" t="s">
        <v>1046</v>
      </c>
      <c r="H115" s="6" t="s">
        <v>1047</v>
      </c>
      <c r="I115" s="6" t="s">
        <v>712</v>
      </c>
      <c r="J115" s="6"/>
      <c r="K115" s="6" t="s">
        <v>242</v>
      </c>
      <c r="L115" s="6" t="s">
        <v>83</v>
      </c>
      <c r="M115" s="6" t="s">
        <v>182</v>
      </c>
      <c r="N115" s="6" t="s">
        <v>1048</v>
      </c>
      <c r="O115" s="6"/>
      <c r="P115" s="6" t="s">
        <v>1035</v>
      </c>
      <c r="Q115" s="7" t="n">
        <f aca="false">IFERROR(INDEX(Wastage_Factors!$B$2:$B$60,MATCH(P115,Wastage_Factors!$A$2:$A$60,0)),0)</f>
        <v>0.08</v>
      </c>
      <c r="R115" s="6" t="s">
        <v>244</v>
      </c>
      <c r="S115" s="6" t="s">
        <v>87</v>
      </c>
      <c r="T115" s="6" t="s">
        <v>88</v>
      </c>
      <c r="U115" s="6" t="s">
        <v>83</v>
      </c>
      <c r="V115" s="6"/>
    </row>
    <row r="116" customFormat="false" ht="22.35" hidden="false" customHeight="false" outlineLevel="0" collapsed="false">
      <c r="A116" s="6" t="s">
        <v>1049</v>
      </c>
      <c r="B116" s="6" t="s">
        <v>1026</v>
      </c>
      <c r="C116" s="6" t="s">
        <v>862</v>
      </c>
      <c r="D116" s="6" t="s">
        <v>1050</v>
      </c>
      <c r="E116" s="6" t="s">
        <v>1051</v>
      </c>
      <c r="F116" s="6" t="s">
        <v>238</v>
      </c>
      <c r="G116" s="6" t="s">
        <v>1052</v>
      </c>
      <c r="H116" s="6" t="s">
        <v>1030</v>
      </c>
      <c r="I116" s="6" t="s">
        <v>1053</v>
      </c>
      <c r="J116" s="6"/>
      <c r="K116" s="6" t="s">
        <v>242</v>
      </c>
      <c r="L116" s="6" t="s">
        <v>83</v>
      </c>
      <c r="M116" s="6" t="s">
        <v>182</v>
      </c>
      <c r="N116" s="6" t="s">
        <v>149</v>
      </c>
      <c r="O116" s="6" t="s">
        <v>1034</v>
      </c>
      <c r="P116" s="6" t="s">
        <v>184</v>
      </c>
      <c r="Q116" s="7" t="n">
        <f aca="false">IFERROR(INDEX(Wastage_Factors!$B$2:$B$60,MATCH(P116,Wastage_Factors!$A$2:$A$60,0)),0)</f>
        <v>0.05</v>
      </c>
      <c r="R116" s="6" t="s">
        <v>244</v>
      </c>
      <c r="S116" s="6" t="s">
        <v>87</v>
      </c>
      <c r="T116" s="6" t="s">
        <v>88</v>
      </c>
      <c r="U116" s="6" t="s">
        <v>83</v>
      </c>
      <c r="V116" s="6"/>
    </row>
    <row r="117" customFormat="false" ht="22.35" hidden="false" customHeight="false" outlineLevel="0" collapsed="false">
      <c r="A117" s="6" t="s">
        <v>1054</v>
      </c>
      <c r="B117" s="6" t="s">
        <v>1026</v>
      </c>
      <c r="C117" s="6" t="s">
        <v>1055</v>
      </c>
      <c r="D117" s="6" t="s">
        <v>1056</v>
      </c>
      <c r="E117" s="6" t="s">
        <v>1057</v>
      </c>
      <c r="F117" s="6" t="s">
        <v>77</v>
      </c>
      <c r="G117" s="6" t="s">
        <v>1058</v>
      </c>
      <c r="H117" s="6" t="s">
        <v>1059</v>
      </c>
      <c r="I117" s="6" t="s">
        <v>241</v>
      </c>
      <c r="J117" s="6"/>
      <c r="K117" s="6" t="s">
        <v>242</v>
      </c>
      <c r="L117" s="6" t="s">
        <v>83</v>
      </c>
      <c r="M117" s="6" t="s">
        <v>77</v>
      </c>
      <c r="N117" s="6" t="s">
        <v>1060</v>
      </c>
      <c r="O117" s="6"/>
      <c r="P117" s="6" t="s">
        <v>1035</v>
      </c>
      <c r="Q117" s="7" t="n">
        <f aca="false">IFERROR(INDEX(Wastage_Factors!$B$2:$B$60,MATCH(P117,Wastage_Factors!$A$2:$A$60,0)),0)</f>
        <v>0.08</v>
      </c>
      <c r="R117" s="6" t="s">
        <v>244</v>
      </c>
      <c r="S117" s="6" t="s">
        <v>87</v>
      </c>
      <c r="T117" s="6" t="s">
        <v>88</v>
      </c>
      <c r="U117" s="6" t="s">
        <v>83</v>
      </c>
      <c r="V117" s="6"/>
    </row>
    <row r="118" customFormat="false" ht="15" hidden="false" customHeight="false" outlineLevel="0" collapsed="false">
      <c r="A118" s="6" t="s">
        <v>1061</v>
      </c>
      <c r="B118" s="6" t="s">
        <v>1026</v>
      </c>
      <c r="C118" s="6" t="s">
        <v>334</v>
      </c>
      <c r="D118" s="6" t="s">
        <v>1062</v>
      </c>
      <c r="E118" s="6" t="s">
        <v>1063</v>
      </c>
      <c r="F118" s="6" t="s">
        <v>115</v>
      </c>
      <c r="G118" s="6" t="s">
        <v>1064</v>
      </c>
      <c r="H118" s="6" t="s">
        <v>1065</v>
      </c>
      <c r="I118" s="6" t="s">
        <v>241</v>
      </c>
      <c r="J118" s="6"/>
      <c r="K118" s="6" t="s">
        <v>242</v>
      </c>
      <c r="L118" s="6" t="s">
        <v>83</v>
      </c>
      <c r="M118" s="6" t="s">
        <v>115</v>
      </c>
      <c r="N118" s="6" t="s">
        <v>1066</v>
      </c>
      <c r="O118" s="6"/>
      <c r="P118" s="6" t="s">
        <v>85</v>
      </c>
      <c r="Q118" s="7" t="n">
        <f aca="false">IFERROR(INDEX(Wastage_Factors!$B$2:$B$60,MATCH(P118,Wastage_Factors!$A$2:$A$60,0)),0)</f>
        <v>0</v>
      </c>
      <c r="R118" s="6" t="s">
        <v>244</v>
      </c>
      <c r="S118" s="6" t="s">
        <v>87</v>
      </c>
      <c r="T118" s="6" t="s">
        <v>88</v>
      </c>
      <c r="U118" s="6" t="s">
        <v>83</v>
      </c>
      <c r="V118" s="6"/>
    </row>
    <row r="119" customFormat="false" ht="22.35" hidden="false" customHeight="false" outlineLevel="0" collapsed="false">
      <c r="A119" s="6" t="s">
        <v>1067</v>
      </c>
      <c r="B119" s="6" t="s">
        <v>1068</v>
      </c>
      <c r="C119" s="6" t="s">
        <v>1069</v>
      </c>
      <c r="D119" s="6" t="s">
        <v>1070</v>
      </c>
      <c r="E119" s="6" t="s">
        <v>1071</v>
      </c>
      <c r="F119" s="6" t="s">
        <v>238</v>
      </c>
      <c r="G119" s="6" t="s">
        <v>1072</v>
      </c>
      <c r="H119" s="6" t="s">
        <v>1073</v>
      </c>
      <c r="I119" s="6" t="s">
        <v>1074</v>
      </c>
      <c r="J119" s="6" t="s">
        <v>1075</v>
      </c>
      <c r="K119" s="6" t="s">
        <v>242</v>
      </c>
      <c r="L119" s="6" t="s">
        <v>83</v>
      </c>
      <c r="M119" s="6" t="s">
        <v>182</v>
      </c>
      <c r="N119" s="6" t="s">
        <v>149</v>
      </c>
      <c r="O119" s="6" t="s">
        <v>1076</v>
      </c>
      <c r="P119" s="6" t="s">
        <v>1077</v>
      </c>
      <c r="Q119" s="7" t="n">
        <f aca="false">IFERROR(INDEX(Wastage_Factors!$B$2:$B$60,MATCH(P119,Wastage_Factors!$A$2:$A$60,0)),0)</f>
        <v>0.05</v>
      </c>
      <c r="R119" s="6" t="s">
        <v>244</v>
      </c>
      <c r="S119" s="6" t="s">
        <v>99</v>
      </c>
      <c r="T119" s="6" t="s">
        <v>88</v>
      </c>
      <c r="U119" s="6" t="s">
        <v>83</v>
      </c>
      <c r="V119" s="6" t="s">
        <v>1078</v>
      </c>
    </row>
    <row r="120" customFormat="false" ht="22.35" hidden="false" customHeight="false" outlineLevel="0" collapsed="false">
      <c r="A120" s="6" t="s">
        <v>1079</v>
      </c>
      <c r="B120" s="6" t="s">
        <v>1068</v>
      </c>
      <c r="C120" s="6" t="s">
        <v>1080</v>
      </c>
      <c r="D120" s="6" t="s">
        <v>1081</v>
      </c>
      <c r="E120" s="6" t="s">
        <v>1082</v>
      </c>
      <c r="F120" s="6" t="s">
        <v>620</v>
      </c>
      <c r="G120" s="6" t="s">
        <v>1083</v>
      </c>
      <c r="H120" s="6" t="s">
        <v>1084</v>
      </c>
      <c r="I120" s="6" t="s">
        <v>1085</v>
      </c>
      <c r="J120" s="6" t="s">
        <v>1086</v>
      </c>
      <c r="K120" s="6" t="s">
        <v>242</v>
      </c>
      <c r="L120" s="6" t="s">
        <v>83</v>
      </c>
      <c r="M120" s="6" t="s">
        <v>182</v>
      </c>
      <c r="N120" s="6" t="s">
        <v>149</v>
      </c>
      <c r="O120" s="6" t="s">
        <v>1087</v>
      </c>
      <c r="P120" s="6" t="s">
        <v>623</v>
      </c>
      <c r="Q120" s="7" t="n">
        <f aca="false">IFERROR(INDEX(Wastage_Factors!$B$2:$B$60,MATCH(P120,Wastage_Factors!$A$2:$A$60,0)),0)</f>
        <v>0.05</v>
      </c>
      <c r="R120" s="6" t="s">
        <v>244</v>
      </c>
      <c r="S120" s="6" t="s">
        <v>99</v>
      </c>
      <c r="T120" s="6" t="s">
        <v>88</v>
      </c>
      <c r="U120" s="6" t="s">
        <v>83</v>
      </c>
      <c r="V120" s="6" t="s">
        <v>1088</v>
      </c>
    </row>
    <row r="121" customFormat="false" ht="22.35" hidden="false" customHeight="false" outlineLevel="0" collapsed="false">
      <c r="A121" s="6" t="s">
        <v>1089</v>
      </c>
      <c r="B121" s="6" t="s">
        <v>1068</v>
      </c>
      <c r="C121" s="6" t="s">
        <v>1090</v>
      </c>
      <c r="D121" s="6" t="s">
        <v>1091</v>
      </c>
      <c r="E121" s="6" t="s">
        <v>1092</v>
      </c>
      <c r="F121" s="6" t="s">
        <v>620</v>
      </c>
      <c r="G121" s="6" t="s">
        <v>1093</v>
      </c>
      <c r="H121" s="6" t="s">
        <v>1094</v>
      </c>
      <c r="I121" s="6" t="s">
        <v>1095</v>
      </c>
      <c r="J121" s="6"/>
      <c r="K121" s="6" t="s">
        <v>242</v>
      </c>
      <c r="L121" s="6" t="s">
        <v>83</v>
      </c>
      <c r="M121" s="6" t="s">
        <v>182</v>
      </c>
      <c r="N121" s="6" t="s">
        <v>149</v>
      </c>
      <c r="O121" s="6" t="s">
        <v>1095</v>
      </c>
      <c r="P121" s="6" t="s">
        <v>623</v>
      </c>
      <c r="Q121" s="7" t="n">
        <f aca="false">IFERROR(INDEX(Wastage_Factors!$B$2:$B$60,MATCH(P121,Wastage_Factors!$A$2:$A$60,0)),0)</f>
        <v>0.05</v>
      </c>
      <c r="R121" s="6" t="s">
        <v>244</v>
      </c>
      <c r="S121" s="6" t="s">
        <v>99</v>
      </c>
      <c r="T121" s="6" t="s">
        <v>88</v>
      </c>
      <c r="U121" s="6" t="s">
        <v>83</v>
      </c>
      <c r="V121" s="6" t="s">
        <v>1096</v>
      </c>
    </row>
    <row r="122" customFormat="false" ht="22.35" hidden="false" customHeight="false" outlineLevel="0" collapsed="false">
      <c r="A122" s="6" t="s">
        <v>1097</v>
      </c>
      <c r="B122" s="6" t="s">
        <v>1068</v>
      </c>
      <c r="C122" s="6" t="s">
        <v>1090</v>
      </c>
      <c r="D122" s="6" t="s">
        <v>1098</v>
      </c>
      <c r="E122" s="6" t="s">
        <v>1099</v>
      </c>
      <c r="F122" s="6" t="s">
        <v>620</v>
      </c>
      <c r="G122" s="6" t="s">
        <v>1100</v>
      </c>
      <c r="H122" s="6" t="s">
        <v>1101</v>
      </c>
      <c r="I122" s="6" t="s">
        <v>1102</v>
      </c>
      <c r="J122" s="6"/>
      <c r="K122" s="6" t="s">
        <v>242</v>
      </c>
      <c r="L122" s="6" t="s">
        <v>83</v>
      </c>
      <c r="M122" s="6" t="s">
        <v>182</v>
      </c>
      <c r="N122" s="6" t="s">
        <v>149</v>
      </c>
      <c r="O122" s="6" t="s">
        <v>1102</v>
      </c>
      <c r="P122" s="6" t="s">
        <v>623</v>
      </c>
      <c r="Q122" s="7" t="n">
        <f aca="false">IFERROR(INDEX(Wastage_Factors!$B$2:$B$60,MATCH(P122,Wastage_Factors!$A$2:$A$60,0)),0)</f>
        <v>0.05</v>
      </c>
      <c r="R122" s="6" t="s">
        <v>244</v>
      </c>
      <c r="S122" s="6" t="s">
        <v>99</v>
      </c>
      <c r="T122" s="6" t="s">
        <v>88</v>
      </c>
      <c r="U122" s="6" t="s">
        <v>83</v>
      </c>
      <c r="V122" s="6" t="s">
        <v>1103</v>
      </c>
    </row>
    <row r="123" customFormat="false" ht="22.35" hidden="false" customHeight="false" outlineLevel="0" collapsed="false">
      <c r="A123" s="6" t="s">
        <v>1104</v>
      </c>
      <c r="B123" s="6" t="s">
        <v>1068</v>
      </c>
      <c r="C123" s="6" t="s">
        <v>1105</v>
      </c>
      <c r="D123" s="6" t="s">
        <v>1106</v>
      </c>
      <c r="E123" s="6" t="s">
        <v>1107</v>
      </c>
      <c r="F123" s="6" t="s">
        <v>620</v>
      </c>
      <c r="G123" s="6" t="s">
        <v>1108</v>
      </c>
      <c r="H123" s="6" t="s">
        <v>1109</v>
      </c>
      <c r="I123" s="6" t="s">
        <v>1110</v>
      </c>
      <c r="J123" s="6"/>
      <c r="K123" s="6" t="s">
        <v>242</v>
      </c>
      <c r="L123" s="6" t="s">
        <v>83</v>
      </c>
      <c r="M123" s="6" t="s">
        <v>182</v>
      </c>
      <c r="N123" s="6" t="s">
        <v>149</v>
      </c>
      <c r="O123" s="6" t="s">
        <v>1110</v>
      </c>
      <c r="P123" s="6" t="s">
        <v>623</v>
      </c>
      <c r="Q123" s="7" t="n">
        <f aca="false">IFERROR(INDEX(Wastage_Factors!$B$2:$B$60,MATCH(P123,Wastage_Factors!$A$2:$A$60,0)),0)</f>
        <v>0.05</v>
      </c>
      <c r="R123" s="6" t="s">
        <v>244</v>
      </c>
      <c r="S123" s="6" t="s">
        <v>99</v>
      </c>
      <c r="T123" s="6" t="s">
        <v>109</v>
      </c>
      <c r="U123" s="6" t="s">
        <v>1111</v>
      </c>
      <c r="V123" s="6" t="s">
        <v>1112</v>
      </c>
    </row>
    <row r="124" customFormat="false" ht="32.8" hidden="false" customHeight="false" outlineLevel="0" collapsed="false">
      <c r="A124" s="6" t="s">
        <v>1113</v>
      </c>
      <c r="B124" s="6" t="s">
        <v>1068</v>
      </c>
      <c r="C124" s="6" t="s">
        <v>1105</v>
      </c>
      <c r="D124" s="6" t="s">
        <v>1114</v>
      </c>
      <c r="E124" s="6" t="s">
        <v>1115</v>
      </c>
      <c r="F124" s="6" t="s">
        <v>238</v>
      </c>
      <c r="G124" s="6" t="s">
        <v>1116</v>
      </c>
      <c r="H124" s="6" t="s">
        <v>1117</v>
      </c>
      <c r="I124" s="6" t="s">
        <v>485</v>
      </c>
      <c r="J124" s="6"/>
      <c r="K124" s="6" t="s">
        <v>242</v>
      </c>
      <c r="L124" s="6" t="s">
        <v>83</v>
      </c>
      <c r="M124" s="6" t="s">
        <v>182</v>
      </c>
      <c r="N124" s="6" t="s">
        <v>1118</v>
      </c>
      <c r="O124" s="6"/>
      <c r="P124" s="6" t="s">
        <v>623</v>
      </c>
      <c r="Q124" s="7" t="n">
        <f aca="false">IFERROR(INDEX(Wastage_Factors!$B$2:$B$60,MATCH(P124,Wastage_Factors!$A$2:$A$60,0)),0)</f>
        <v>0.05</v>
      </c>
      <c r="R124" s="6" t="s">
        <v>244</v>
      </c>
      <c r="S124" s="6" t="s">
        <v>87</v>
      </c>
      <c r="T124" s="6" t="s">
        <v>109</v>
      </c>
      <c r="U124" s="6" t="s">
        <v>585</v>
      </c>
      <c r="V124" s="6"/>
    </row>
    <row r="125" customFormat="false" ht="22.35" hidden="false" customHeight="false" outlineLevel="0" collapsed="false">
      <c r="A125" s="6" t="s">
        <v>1119</v>
      </c>
      <c r="B125" s="6" t="s">
        <v>1068</v>
      </c>
      <c r="C125" s="6" t="s">
        <v>1120</v>
      </c>
      <c r="D125" s="6" t="s">
        <v>1121</v>
      </c>
      <c r="E125" s="6" t="s">
        <v>1122</v>
      </c>
      <c r="F125" s="6" t="s">
        <v>620</v>
      </c>
      <c r="G125" s="6" t="s">
        <v>1123</v>
      </c>
      <c r="H125" s="6" t="s">
        <v>1124</v>
      </c>
      <c r="I125" s="6" t="s">
        <v>1125</v>
      </c>
      <c r="J125" s="6"/>
      <c r="K125" s="6" t="s">
        <v>242</v>
      </c>
      <c r="L125" s="6" t="s">
        <v>83</v>
      </c>
      <c r="M125" s="6" t="s">
        <v>182</v>
      </c>
      <c r="N125" s="6" t="s">
        <v>149</v>
      </c>
      <c r="O125" s="6" t="s">
        <v>1125</v>
      </c>
      <c r="P125" s="6" t="s">
        <v>623</v>
      </c>
      <c r="Q125" s="7" t="n">
        <f aca="false">IFERROR(INDEX(Wastage_Factors!$B$2:$B$60,MATCH(P125,Wastage_Factors!$A$2:$A$60,0)),0)</f>
        <v>0.05</v>
      </c>
      <c r="R125" s="6" t="s">
        <v>244</v>
      </c>
      <c r="S125" s="6" t="s">
        <v>99</v>
      </c>
      <c r="T125" s="6" t="s">
        <v>88</v>
      </c>
      <c r="U125" s="6" t="s">
        <v>83</v>
      </c>
      <c r="V125" s="6"/>
    </row>
    <row r="126" customFormat="false" ht="22.35" hidden="false" customHeight="false" outlineLevel="0" collapsed="false">
      <c r="A126" s="6" t="s">
        <v>1126</v>
      </c>
      <c r="B126" s="6" t="s">
        <v>1068</v>
      </c>
      <c r="C126" s="6" t="s">
        <v>1120</v>
      </c>
      <c r="D126" s="6" t="s">
        <v>1127</v>
      </c>
      <c r="E126" s="6" t="s">
        <v>1128</v>
      </c>
      <c r="F126" s="6" t="s">
        <v>620</v>
      </c>
      <c r="G126" s="6" t="s">
        <v>1129</v>
      </c>
      <c r="H126" s="6" t="s">
        <v>1124</v>
      </c>
      <c r="I126" s="6" t="s">
        <v>1125</v>
      </c>
      <c r="J126" s="6"/>
      <c r="K126" s="6" t="s">
        <v>242</v>
      </c>
      <c r="L126" s="6" t="s">
        <v>83</v>
      </c>
      <c r="M126" s="6" t="s">
        <v>182</v>
      </c>
      <c r="N126" s="6" t="s">
        <v>149</v>
      </c>
      <c r="O126" s="6" t="s">
        <v>1125</v>
      </c>
      <c r="P126" s="6" t="s">
        <v>623</v>
      </c>
      <c r="Q126" s="7" t="n">
        <f aca="false">IFERROR(INDEX(Wastage_Factors!$B$2:$B$60,MATCH(P126,Wastage_Factors!$A$2:$A$60,0)),0)</f>
        <v>0.05</v>
      </c>
      <c r="R126" s="6" t="s">
        <v>244</v>
      </c>
      <c r="S126" s="6" t="s">
        <v>99</v>
      </c>
      <c r="T126" s="6" t="s">
        <v>88</v>
      </c>
      <c r="U126" s="6" t="s">
        <v>83</v>
      </c>
      <c r="V126" s="6"/>
    </row>
    <row r="127" customFormat="false" ht="22.35" hidden="false" customHeight="false" outlineLevel="0" collapsed="false">
      <c r="A127" s="6" t="s">
        <v>1130</v>
      </c>
      <c r="B127" s="6" t="s">
        <v>1068</v>
      </c>
      <c r="C127" s="6" t="s">
        <v>1131</v>
      </c>
      <c r="D127" s="6" t="s">
        <v>1132</v>
      </c>
      <c r="E127" s="6" t="s">
        <v>1133</v>
      </c>
      <c r="F127" s="6" t="s">
        <v>176</v>
      </c>
      <c r="G127" s="6" t="s">
        <v>1134</v>
      </c>
      <c r="H127" s="6" t="s">
        <v>1135</v>
      </c>
      <c r="I127" s="6" t="s">
        <v>1136</v>
      </c>
      <c r="J127" s="6"/>
      <c r="K127" s="6" t="s">
        <v>242</v>
      </c>
      <c r="L127" s="6" t="s">
        <v>83</v>
      </c>
      <c r="M127" s="6" t="s">
        <v>182</v>
      </c>
      <c r="N127" s="6" t="s">
        <v>149</v>
      </c>
      <c r="O127" s="6" t="s">
        <v>1136</v>
      </c>
      <c r="P127" s="6" t="s">
        <v>623</v>
      </c>
      <c r="Q127" s="7" t="n">
        <f aca="false">IFERROR(INDEX(Wastage_Factors!$B$2:$B$60,MATCH(P127,Wastage_Factors!$A$2:$A$60,0)),0)</f>
        <v>0.05</v>
      </c>
      <c r="R127" s="6" t="s">
        <v>244</v>
      </c>
      <c r="S127" s="6" t="s">
        <v>99</v>
      </c>
      <c r="T127" s="6" t="s">
        <v>88</v>
      </c>
      <c r="U127" s="6" t="s">
        <v>83</v>
      </c>
      <c r="V127" s="6"/>
    </row>
    <row r="128" customFormat="false" ht="22.35" hidden="false" customHeight="false" outlineLevel="0" collapsed="false">
      <c r="A128" s="6" t="s">
        <v>1137</v>
      </c>
      <c r="B128" s="6" t="s">
        <v>1068</v>
      </c>
      <c r="C128" s="6" t="s">
        <v>1138</v>
      </c>
      <c r="D128" s="6" t="s">
        <v>1139</v>
      </c>
      <c r="E128" s="6" t="s">
        <v>83</v>
      </c>
      <c r="F128" s="6" t="s">
        <v>176</v>
      </c>
      <c r="G128" s="6" t="s">
        <v>1140</v>
      </c>
      <c r="H128" s="6" t="s">
        <v>1141</v>
      </c>
      <c r="I128" s="6" t="s">
        <v>1142</v>
      </c>
      <c r="J128" s="6"/>
      <c r="K128" s="6" t="s">
        <v>242</v>
      </c>
      <c r="L128" s="6" t="s">
        <v>83</v>
      </c>
      <c r="M128" s="6" t="s">
        <v>176</v>
      </c>
      <c r="N128" s="6" t="s">
        <v>149</v>
      </c>
      <c r="O128" s="6" t="s">
        <v>1142</v>
      </c>
      <c r="P128" s="6" t="s">
        <v>623</v>
      </c>
      <c r="Q128" s="7" t="n">
        <f aca="false">IFERROR(INDEX(Wastage_Factors!$B$2:$B$60,MATCH(P128,Wastage_Factors!$A$2:$A$60,0)),0)</f>
        <v>0.05</v>
      </c>
      <c r="R128" s="6" t="s">
        <v>244</v>
      </c>
      <c r="S128" s="6" t="s">
        <v>99</v>
      </c>
      <c r="T128" s="6" t="s">
        <v>88</v>
      </c>
      <c r="U128" s="6" t="s">
        <v>83</v>
      </c>
      <c r="V128" s="6"/>
    </row>
    <row r="129" customFormat="false" ht="22.35" hidden="false" customHeight="false" outlineLevel="0" collapsed="false">
      <c r="A129" s="6" t="s">
        <v>1143</v>
      </c>
      <c r="B129" s="6" t="s">
        <v>1068</v>
      </c>
      <c r="C129" s="6" t="s">
        <v>467</v>
      </c>
      <c r="D129" s="6" t="s">
        <v>1144</v>
      </c>
      <c r="E129" s="6" t="s">
        <v>83</v>
      </c>
      <c r="F129" s="6" t="s">
        <v>94</v>
      </c>
      <c r="G129" s="6" t="s">
        <v>1145</v>
      </c>
      <c r="H129" s="6" t="s">
        <v>1146</v>
      </c>
      <c r="I129" s="6" t="s">
        <v>83</v>
      </c>
      <c r="J129" s="6"/>
      <c r="K129" s="6" t="s">
        <v>242</v>
      </c>
      <c r="L129" s="6" t="s">
        <v>83</v>
      </c>
      <c r="M129" s="6" t="s">
        <v>94</v>
      </c>
      <c r="N129" s="6" t="s">
        <v>1147</v>
      </c>
      <c r="O129" s="6"/>
      <c r="P129" s="6" t="s">
        <v>85</v>
      </c>
      <c r="Q129" s="7" t="n">
        <f aca="false">IFERROR(INDEX(Wastage_Factors!$B$2:$B$60,MATCH(P129,Wastage_Factors!$A$2:$A$60,0)),0)</f>
        <v>0</v>
      </c>
      <c r="R129" s="6" t="s">
        <v>244</v>
      </c>
      <c r="S129" s="6" t="s">
        <v>99</v>
      </c>
      <c r="T129" s="6" t="s">
        <v>88</v>
      </c>
      <c r="U129" s="6" t="s">
        <v>83</v>
      </c>
      <c r="V129" s="6"/>
    </row>
    <row r="130" customFormat="false" ht="15" hidden="false" customHeight="false" outlineLevel="0" collapsed="false">
      <c r="A130" s="6" t="s">
        <v>1148</v>
      </c>
      <c r="B130" s="6" t="s">
        <v>1068</v>
      </c>
      <c r="C130" s="6" t="s">
        <v>1090</v>
      </c>
      <c r="D130" s="6" t="s">
        <v>1149</v>
      </c>
      <c r="E130" s="6" t="s">
        <v>1150</v>
      </c>
      <c r="F130" s="6" t="s">
        <v>238</v>
      </c>
      <c r="G130" s="6" t="s">
        <v>1151</v>
      </c>
      <c r="H130" s="6" t="s">
        <v>1152</v>
      </c>
      <c r="I130" s="6" t="s">
        <v>241</v>
      </c>
      <c r="J130" s="6"/>
      <c r="K130" s="6" t="s">
        <v>242</v>
      </c>
      <c r="L130" s="6" t="s">
        <v>83</v>
      </c>
      <c r="M130" s="6" t="s">
        <v>182</v>
      </c>
      <c r="N130" s="6" t="s">
        <v>1153</v>
      </c>
      <c r="O130" s="6"/>
      <c r="P130" s="6" t="s">
        <v>623</v>
      </c>
      <c r="Q130" s="7" t="n">
        <f aca="false">IFERROR(INDEX(Wastage_Factors!$B$2:$B$60,MATCH(P130,Wastage_Factors!$A$2:$A$60,0)),0)</f>
        <v>0.05</v>
      </c>
      <c r="R130" s="6" t="s">
        <v>244</v>
      </c>
      <c r="S130" s="6" t="s">
        <v>535</v>
      </c>
      <c r="T130" s="6" t="s">
        <v>88</v>
      </c>
      <c r="U130" s="6" t="s">
        <v>83</v>
      </c>
      <c r="V130" s="6"/>
    </row>
    <row r="131" customFormat="false" ht="15" hidden="false" customHeight="false" outlineLevel="0" collapsed="false">
      <c r="A131" s="6" t="s">
        <v>1154</v>
      </c>
      <c r="B131" s="6" t="s">
        <v>1068</v>
      </c>
      <c r="C131" s="6" t="s">
        <v>1131</v>
      </c>
      <c r="D131" s="6" t="s">
        <v>1155</v>
      </c>
      <c r="E131" s="6" t="s">
        <v>83</v>
      </c>
      <c r="F131" s="6" t="s">
        <v>238</v>
      </c>
      <c r="G131" s="6" t="s">
        <v>1156</v>
      </c>
      <c r="H131" s="6" t="s">
        <v>1157</v>
      </c>
      <c r="I131" s="6" t="s">
        <v>904</v>
      </c>
      <c r="J131" s="6"/>
      <c r="K131" s="6" t="s">
        <v>242</v>
      </c>
      <c r="L131" s="6" t="s">
        <v>83</v>
      </c>
      <c r="M131" s="6" t="s">
        <v>182</v>
      </c>
      <c r="N131" s="6" t="s">
        <v>1158</v>
      </c>
      <c r="O131" s="6"/>
      <c r="P131" s="6" t="s">
        <v>623</v>
      </c>
      <c r="Q131" s="7" t="n">
        <f aca="false">IFERROR(INDEX(Wastage_Factors!$B$2:$B$60,MATCH(P131,Wastage_Factors!$A$2:$A$60,0)),0)</f>
        <v>0.05</v>
      </c>
      <c r="R131" s="6" t="s">
        <v>244</v>
      </c>
      <c r="S131" s="6" t="s">
        <v>99</v>
      </c>
      <c r="T131" s="6" t="s">
        <v>88</v>
      </c>
      <c r="U131" s="6" t="s">
        <v>83</v>
      </c>
      <c r="V131" s="6"/>
    </row>
    <row r="132" customFormat="false" ht="22.35" hidden="false" customHeight="false" outlineLevel="0" collapsed="false">
      <c r="A132" s="6" t="s">
        <v>1159</v>
      </c>
      <c r="B132" s="6" t="s">
        <v>1160</v>
      </c>
      <c r="C132" s="6" t="s">
        <v>1161</v>
      </c>
      <c r="D132" s="6" t="s">
        <v>1162</v>
      </c>
      <c r="E132" s="6" t="s">
        <v>1163</v>
      </c>
      <c r="F132" s="6" t="s">
        <v>182</v>
      </c>
      <c r="G132" s="6" t="s">
        <v>1164</v>
      </c>
      <c r="H132" s="6" t="s">
        <v>1165</v>
      </c>
      <c r="I132" s="6" t="s">
        <v>1166</v>
      </c>
      <c r="J132" s="6"/>
      <c r="K132" s="6" t="s">
        <v>242</v>
      </c>
      <c r="L132" s="6" t="s">
        <v>1167</v>
      </c>
      <c r="M132" s="6" t="s">
        <v>182</v>
      </c>
      <c r="N132" s="6" t="s">
        <v>149</v>
      </c>
      <c r="O132" s="6" t="s">
        <v>1168</v>
      </c>
      <c r="P132" s="6" t="s">
        <v>453</v>
      </c>
      <c r="Q132" s="7" t="n">
        <f aca="false">IFERROR(INDEX(Wastage_Factors!$B$2:$B$60,MATCH(P132,Wastage_Factors!$A$2:$A$60,0)),0)</f>
        <v>0.1</v>
      </c>
      <c r="R132" s="6" t="s">
        <v>244</v>
      </c>
      <c r="S132" s="6" t="s">
        <v>99</v>
      </c>
      <c r="T132" s="6" t="s">
        <v>1169</v>
      </c>
      <c r="U132" s="6" t="s">
        <v>1170</v>
      </c>
      <c r="V132" s="6"/>
    </row>
    <row r="133" customFormat="false" ht="22.35" hidden="false" customHeight="false" outlineLevel="0" collapsed="false">
      <c r="A133" s="6" t="s">
        <v>1171</v>
      </c>
      <c r="B133" s="6" t="s">
        <v>1160</v>
      </c>
      <c r="C133" s="6" t="s">
        <v>1161</v>
      </c>
      <c r="D133" s="6" t="s">
        <v>1172</v>
      </c>
      <c r="E133" s="6" t="s">
        <v>1173</v>
      </c>
      <c r="F133" s="6" t="s">
        <v>182</v>
      </c>
      <c r="G133" s="6" t="s">
        <v>1174</v>
      </c>
      <c r="H133" s="6" t="s">
        <v>1165</v>
      </c>
      <c r="I133" s="6" t="s">
        <v>1175</v>
      </c>
      <c r="J133" s="6"/>
      <c r="K133" s="6" t="s">
        <v>242</v>
      </c>
      <c r="L133" s="6" t="s">
        <v>83</v>
      </c>
      <c r="M133" s="6" t="s">
        <v>182</v>
      </c>
      <c r="N133" s="6" t="s">
        <v>149</v>
      </c>
      <c r="O133" s="6" t="s">
        <v>1168</v>
      </c>
      <c r="P133" s="6" t="s">
        <v>453</v>
      </c>
      <c r="Q133" s="7" t="n">
        <f aca="false">IFERROR(INDEX(Wastage_Factors!$B$2:$B$60,MATCH(P133,Wastage_Factors!$A$2:$A$60,0)),0)</f>
        <v>0.1</v>
      </c>
      <c r="R133" s="6" t="s">
        <v>244</v>
      </c>
      <c r="S133" s="6" t="s">
        <v>99</v>
      </c>
      <c r="T133" s="6" t="s">
        <v>1169</v>
      </c>
      <c r="U133" s="6" t="s">
        <v>1176</v>
      </c>
      <c r="V133" s="6"/>
    </row>
    <row r="134" customFormat="false" ht="22.35" hidden="false" customHeight="false" outlineLevel="0" collapsed="false">
      <c r="A134" s="6" t="s">
        <v>1177</v>
      </c>
      <c r="B134" s="6" t="s">
        <v>1160</v>
      </c>
      <c r="C134" s="6" t="s">
        <v>929</v>
      </c>
      <c r="D134" s="6" t="s">
        <v>1178</v>
      </c>
      <c r="E134" s="6" t="s">
        <v>83</v>
      </c>
      <c r="F134" s="6" t="s">
        <v>932</v>
      </c>
      <c r="G134" s="6" t="s">
        <v>1179</v>
      </c>
      <c r="H134" s="6" t="s">
        <v>1165</v>
      </c>
      <c r="I134" s="6" t="s">
        <v>1175</v>
      </c>
      <c r="J134" s="6"/>
      <c r="K134" s="6" t="s">
        <v>242</v>
      </c>
      <c r="L134" s="6" t="s">
        <v>83</v>
      </c>
      <c r="M134" s="6" t="s">
        <v>115</v>
      </c>
      <c r="N134" s="6" t="s">
        <v>149</v>
      </c>
      <c r="O134" s="6" t="s">
        <v>1168</v>
      </c>
      <c r="P134" s="6" t="s">
        <v>85</v>
      </c>
      <c r="Q134" s="7" t="n">
        <f aca="false">IFERROR(INDEX(Wastage_Factors!$B$2:$B$60,MATCH(P134,Wastage_Factors!$A$2:$A$60,0)),0)</f>
        <v>0</v>
      </c>
      <c r="R134" s="6" t="s">
        <v>938</v>
      </c>
      <c r="S134" s="6" t="s">
        <v>99</v>
      </c>
      <c r="T134" s="6" t="s">
        <v>88</v>
      </c>
      <c r="U134" s="6" t="s">
        <v>83</v>
      </c>
      <c r="V134" s="6"/>
    </row>
    <row r="135" customFormat="false" ht="15" hidden="false" customHeight="false" outlineLevel="0" collapsed="false">
      <c r="A135" s="6" t="s">
        <v>1180</v>
      </c>
      <c r="B135" s="6" t="s">
        <v>1160</v>
      </c>
      <c r="C135" s="6" t="s">
        <v>1181</v>
      </c>
      <c r="D135" s="6" t="s">
        <v>1182</v>
      </c>
      <c r="E135" s="6" t="s">
        <v>1183</v>
      </c>
      <c r="F135" s="6" t="s">
        <v>115</v>
      </c>
      <c r="G135" s="6" t="s">
        <v>1184</v>
      </c>
      <c r="H135" s="6" t="s">
        <v>1185</v>
      </c>
      <c r="I135" s="6" t="s">
        <v>1186</v>
      </c>
      <c r="J135" s="6"/>
      <c r="K135" s="6" t="s">
        <v>689</v>
      </c>
      <c r="L135" s="6" t="s">
        <v>83</v>
      </c>
      <c r="M135" s="6" t="s">
        <v>115</v>
      </c>
      <c r="N135" s="6" t="s">
        <v>1187</v>
      </c>
      <c r="O135" s="6"/>
      <c r="P135" s="6" t="s">
        <v>85</v>
      </c>
      <c r="Q135" s="7" t="n">
        <f aca="false">IFERROR(INDEX(Wastage_Factors!$B$2:$B$60,MATCH(P135,Wastage_Factors!$A$2:$A$60,0)),0)</f>
        <v>0</v>
      </c>
      <c r="R135" s="6" t="s">
        <v>938</v>
      </c>
      <c r="S135" s="6" t="s">
        <v>99</v>
      </c>
      <c r="T135" s="6" t="s">
        <v>1169</v>
      </c>
      <c r="U135" s="6" t="s">
        <v>1188</v>
      </c>
      <c r="V135" s="6"/>
    </row>
    <row r="136" customFormat="false" ht="22.35" hidden="false" customHeight="false" outlineLevel="0" collapsed="false">
      <c r="A136" s="6" t="s">
        <v>1189</v>
      </c>
      <c r="B136" s="6" t="s">
        <v>1160</v>
      </c>
      <c r="C136" s="6" t="s">
        <v>1190</v>
      </c>
      <c r="D136" s="6" t="s">
        <v>1191</v>
      </c>
      <c r="E136" s="6" t="s">
        <v>1192</v>
      </c>
      <c r="F136" s="6" t="s">
        <v>77</v>
      </c>
      <c r="G136" s="6" t="s">
        <v>1193</v>
      </c>
      <c r="H136" s="6" t="s">
        <v>1194</v>
      </c>
      <c r="I136" s="6" t="s">
        <v>983</v>
      </c>
      <c r="J136" s="6"/>
      <c r="K136" s="6" t="s">
        <v>242</v>
      </c>
      <c r="L136" s="6" t="s">
        <v>83</v>
      </c>
      <c r="M136" s="6" t="s">
        <v>77</v>
      </c>
      <c r="N136" s="6" t="s">
        <v>149</v>
      </c>
      <c r="O136" s="6" t="s">
        <v>1195</v>
      </c>
      <c r="P136" s="6" t="s">
        <v>422</v>
      </c>
      <c r="Q136" s="7" t="n">
        <f aca="false">IFERROR(INDEX(Wastage_Factors!$B$2:$B$60,MATCH(P136,Wastage_Factors!$A$2:$A$60,0)),0)</f>
        <v>0.05</v>
      </c>
      <c r="R136" s="6" t="s">
        <v>244</v>
      </c>
      <c r="S136" s="6" t="s">
        <v>99</v>
      </c>
      <c r="T136" s="6" t="s">
        <v>109</v>
      </c>
      <c r="U136" s="6" t="s">
        <v>1196</v>
      </c>
      <c r="V136" s="6"/>
    </row>
    <row r="137" customFormat="false" ht="22.35" hidden="false" customHeight="false" outlineLevel="0" collapsed="false">
      <c r="A137" s="6" t="s">
        <v>1197</v>
      </c>
      <c r="B137" s="6" t="s">
        <v>1160</v>
      </c>
      <c r="C137" s="6" t="s">
        <v>1198</v>
      </c>
      <c r="D137" s="6" t="s">
        <v>1199</v>
      </c>
      <c r="E137" s="6" t="s">
        <v>1200</v>
      </c>
      <c r="F137" s="6" t="s">
        <v>238</v>
      </c>
      <c r="G137" s="6" t="s">
        <v>1201</v>
      </c>
      <c r="H137" s="6" t="s">
        <v>1202</v>
      </c>
      <c r="I137" s="6" t="s">
        <v>1203</v>
      </c>
      <c r="J137" s="6" t="s">
        <v>1204</v>
      </c>
      <c r="K137" s="6" t="s">
        <v>567</v>
      </c>
      <c r="L137" s="6" t="s">
        <v>83</v>
      </c>
      <c r="M137" s="6" t="s">
        <v>182</v>
      </c>
      <c r="N137" s="6" t="s">
        <v>149</v>
      </c>
      <c r="O137" s="6" t="s">
        <v>1205</v>
      </c>
      <c r="P137" s="6" t="s">
        <v>422</v>
      </c>
      <c r="Q137" s="7" t="n">
        <f aca="false">IFERROR(INDEX(Wastage_Factors!$B$2:$B$60,MATCH(P137,Wastage_Factors!$A$2:$A$60,0)),0)</f>
        <v>0.05</v>
      </c>
      <c r="R137" s="6" t="s">
        <v>202</v>
      </c>
      <c r="S137" s="6" t="s">
        <v>99</v>
      </c>
      <c r="T137" s="6" t="s">
        <v>1169</v>
      </c>
      <c r="U137" s="6" t="s">
        <v>1206</v>
      </c>
      <c r="V137" s="6"/>
    </row>
    <row r="138" customFormat="false" ht="22.35" hidden="false" customHeight="false" outlineLevel="0" collapsed="false">
      <c r="A138" s="6" t="s">
        <v>1207</v>
      </c>
      <c r="B138" s="6" t="s">
        <v>1160</v>
      </c>
      <c r="C138" s="6" t="s">
        <v>1208</v>
      </c>
      <c r="D138" s="6" t="s">
        <v>1209</v>
      </c>
      <c r="E138" s="6" t="s">
        <v>1210</v>
      </c>
      <c r="F138" s="6" t="s">
        <v>182</v>
      </c>
      <c r="G138" s="6" t="s">
        <v>1211</v>
      </c>
      <c r="H138" s="6" t="s">
        <v>1212</v>
      </c>
      <c r="I138" s="6" t="s">
        <v>241</v>
      </c>
      <c r="J138" s="6"/>
      <c r="K138" s="6" t="s">
        <v>242</v>
      </c>
      <c r="L138" s="6" t="s">
        <v>83</v>
      </c>
      <c r="M138" s="6" t="s">
        <v>182</v>
      </c>
      <c r="N138" s="6" t="s">
        <v>1213</v>
      </c>
      <c r="O138" s="6"/>
      <c r="P138" s="6" t="s">
        <v>453</v>
      </c>
      <c r="Q138" s="7" t="n">
        <f aca="false">IFERROR(INDEX(Wastage_Factors!$B$2:$B$60,MATCH(P138,Wastage_Factors!$A$2:$A$60,0)),0)</f>
        <v>0.1</v>
      </c>
      <c r="R138" s="6" t="s">
        <v>244</v>
      </c>
      <c r="S138" s="6" t="s">
        <v>881</v>
      </c>
      <c r="T138" s="6" t="s">
        <v>88</v>
      </c>
      <c r="U138" s="6" t="s">
        <v>83</v>
      </c>
      <c r="V138" s="6"/>
    </row>
    <row r="139" customFormat="false" ht="15" hidden="false" customHeight="false" outlineLevel="0" collapsed="false">
      <c r="A139" s="6" t="s">
        <v>1214</v>
      </c>
      <c r="B139" s="6" t="s">
        <v>1160</v>
      </c>
      <c r="C139" s="6" t="s">
        <v>334</v>
      </c>
      <c r="D139" s="6" t="s">
        <v>1215</v>
      </c>
      <c r="E139" s="6" t="s">
        <v>83</v>
      </c>
      <c r="F139" s="6" t="s">
        <v>77</v>
      </c>
      <c r="G139" s="6" t="s">
        <v>952</v>
      </c>
      <c r="H139" s="6" t="s">
        <v>1216</v>
      </c>
      <c r="I139" s="6" t="s">
        <v>968</v>
      </c>
      <c r="J139" s="6"/>
      <c r="K139" s="6" t="s">
        <v>242</v>
      </c>
      <c r="L139" s="6" t="s">
        <v>83</v>
      </c>
      <c r="M139" s="6" t="s">
        <v>77</v>
      </c>
      <c r="N139" s="6" t="s">
        <v>1217</v>
      </c>
      <c r="O139" s="6"/>
      <c r="P139" s="6" t="s">
        <v>85</v>
      </c>
      <c r="Q139" s="7" t="n">
        <f aca="false">IFERROR(INDEX(Wastage_Factors!$B$2:$B$60,MATCH(P139,Wastage_Factors!$A$2:$A$60,0)),0)</f>
        <v>0</v>
      </c>
      <c r="R139" s="6" t="s">
        <v>1218</v>
      </c>
      <c r="S139" s="6" t="s">
        <v>87</v>
      </c>
      <c r="T139" s="6" t="s">
        <v>88</v>
      </c>
      <c r="U139" s="6" t="s">
        <v>83</v>
      </c>
      <c r="V139" s="6"/>
    </row>
    <row r="140" customFormat="false" ht="15" hidden="false" customHeight="false" outlineLevel="0" collapsed="false">
      <c r="A140" s="6" t="s">
        <v>1219</v>
      </c>
      <c r="B140" s="6" t="s">
        <v>1160</v>
      </c>
      <c r="C140" s="6" t="s">
        <v>1220</v>
      </c>
      <c r="D140" s="6" t="s">
        <v>1221</v>
      </c>
      <c r="E140" s="6" t="s">
        <v>1222</v>
      </c>
      <c r="F140" s="6" t="s">
        <v>182</v>
      </c>
      <c r="G140" s="6" t="s">
        <v>1223</v>
      </c>
      <c r="H140" s="6" t="s">
        <v>1224</v>
      </c>
      <c r="I140" s="6" t="s">
        <v>566</v>
      </c>
      <c r="J140" s="6"/>
      <c r="K140" s="6" t="s">
        <v>242</v>
      </c>
      <c r="L140" s="6" t="s">
        <v>83</v>
      </c>
      <c r="M140" s="6" t="s">
        <v>182</v>
      </c>
      <c r="N140" s="6" t="s">
        <v>803</v>
      </c>
      <c r="O140" s="6"/>
      <c r="P140" s="6" t="s">
        <v>184</v>
      </c>
      <c r="Q140" s="7" t="n">
        <f aca="false">IFERROR(INDEX(Wastage_Factors!$B$2:$B$60,MATCH(P140,Wastage_Factors!$A$2:$A$60,0)),0)</f>
        <v>0.05</v>
      </c>
      <c r="R140" s="6" t="s">
        <v>523</v>
      </c>
      <c r="S140" s="6" t="s">
        <v>87</v>
      </c>
      <c r="T140" s="6" t="s">
        <v>88</v>
      </c>
      <c r="U140" s="6" t="s">
        <v>83</v>
      </c>
      <c r="V140" s="6"/>
    </row>
    <row r="141" customFormat="false" ht="22.35" hidden="false" customHeight="false" outlineLevel="0" collapsed="false">
      <c r="A141" s="6" t="s">
        <v>1225</v>
      </c>
      <c r="B141" s="6" t="s">
        <v>1226</v>
      </c>
      <c r="C141" s="6" t="s">
        <v>1227</v>
      </c>
      <c r="D141" s="6" t="s">
        <v>1228</v>
      </c>
      <c r="E141" s="6" t="s">
        <v>1229</v>
      </c>
      <c r="F141" s="6" t="s">
        <v>77</v>
      </c>
      <c r="G141" s="6" t="s">
        <v>1230</v>
      </c>
      <c r="H141" s="6" t="s">
        <v>1231</v>
      </c>
      <c r="I141" s="6" t="s">
        <v>1232</v>
      </c>
      <c r="J141" s="6"/>
      <c r="K141" s="6" t="s">
        <v>1226</v>
      </c>
      <c r="L141" s="6" t="s">
        <v>83</v>
      </c>
      <c r="M141" s="6" t="s">
        <v>77</v>
      </c>
      <c r="N141" s="6" t="s">
        <v>149</v>
      </c>
      <c r="O141" s="6" t="s">
        <v>1233</v>
      </c>
      <c r="P141" s="6" t="s">
        <v>453</v>
      </c>
      <c r="Q141" s="7" t="n">
        <f aca="false">IFERROR(INDEX(Wastage_Factors!$B$2:$B$60,MATCH(P141,Wastage_Factors!$A$2:$A$60,0)),0)</f>
        <v>0.1</v>
      </c>
      <c r="R141" s="6" t="s">
        <v>244</v>
      </c>
      <c r="S141" s="6" t="s">
        <v>99</v>
      </c>
      <c r="T141" s="6" t="s">
        <v>1169</v>
      </c>
      <c r="U141" s="6" t="s">
        <v>1234</v>
      </c>
      <c r="V141" s="6" t="s">
        <v>1235</v>
      </c>
    </row>
    <row r="142" customFormat="false" ht="22.35" hidden="false" customHeight="false" outlineLevel="0" collapsed="false">
      <c r="A142" s="6" t="s">
        <v>1236</v>
      </c>
      <c r="B142" s="6" t="s">
        <v>1226</v>
      </c>
      <c r="C142" s="6" t="s">
        <v>1227</v>
      </c>
      <c r="D142" s="6" t="s">
        <v>1237</v>
      </c>
      <c r="E142" s="6" t="s">
        <v>1238</v>
      </c>
      <c r="F142" s="6" t="s">
        <v>77</v>
      </c>
      <c r="G142" s="6" t="s">
        <v>1239</v>
      </c>
      <c r="H142" s="6" t="s">
        <v>1240</v>
      </c>
      <c r="I142" s="6" t="s">
        <v>1241</v>
      </c>
      <c r="J142" s="6"/>
      <c r="K142" s="6" t="s">
        <v>1226</v>
      </c>
      <c r="L142" s="6" t="s">
        <v>83</v>
      </c>
      <c r="M142" s="6" t="s">
        <v>77</v>
      </c>
      <c r="N142" s="6" t="s">
        <v>149</v>
      </c>
      <c r="O142" s="6" t="s">
        <v>1242</v>
      </c>
      <c r="P142" s="6" t="s">
        <v>453</v>
      </c>
      <c r="Q142" s="7" t="n">
        <f aca="false">IFERROR(INDEX(Wastage_Factors!$B$2:$B$60,MATCH(P142,Wastage_Factors!$A$2:$A$60,0)),0)</f>
        <v>0.1</v>
      </c>
      <c r="R142" s="6" t="s">
        <v>244</v>
      </c>
      <c r="S142" s="6" t="s">
        <v>99</v>
      </c>
      <c r="T142" s="6" t="s">
        <v>109</v>
      </c>
      <c r="U142" s="6" t="s">
        <v>83</v>
      </c>
      <c r="V142" s="6" t="s">
        <v>1235</v>
      </c>
    </row>
    <row r="143" customFormat="false" ht="22.35" hidden="false" customHeight="false" outlineLevel="0" collapsed="false">
      <c r="A143" s="6" t="s">
        <v>1243</v>
      </c>
      <c r="B143" s="6" t="s">
        <v>1226</v>
      </c>
      <c r="C143" s="6" t="s">
        <v>1227</v>
      </c>
      <c r="D143" s="6" t="s">
        <v>1244</v>
      </c>
      <c r="E143" s="6" t="s">
        <v>1173</v>
      </c>
      <c r="F143" s="6" t="s">
        <v>182</v>
      </c>
      <c r="G143" s="6" t="s">
        <v>1245</v>
      </c>
      <c r="H143" s="6" t="s">
        <v>1246</v>
      </c>
      <c r="I143" s="6" t="s">
        <v>1241</v>
      </c>
      <c r="J143" s="6"/>
      <c r="K143" s="6" t="s">
        <v>1226</v>
      </c>
      <c r="L143" s="6" t="s">
        <v>83</v>
      </c>
      <c r="M143" s="6" t="s">
        <v>182</v>
      </c>
      <c r="N143" s="6" t="s">
        <v>149</v>
      </c>
      <c r="O143" s="6" t="s">
        <v>1247</v>
      </c>
      <c r="P143" s="6" t="s">
        <v>453</v>
      </c>
      <c r="Q143" s="7" t="n">
        <f aca="false">IFERROR(INDEX(Wastage_Factors!$B$2:$B$60,MATCH(P143,Wastage_Factors!$A$2:$A$60,0)),0)</f>
        <v>0.1</v>
      </c>
      <c r="R143" s="6" t="s">
        <v>244</v>
      </c>
      <c r="S143" s="6" t="s">
        <v>99</v>
      </c>
      <c r="T143" s="6" t="s">
        <v>109</v>
      </c>
      <c r="U143" s="6" t="s">
        <v>83</v>
      </c>
      <c r="V143" s="6" t="s">
        <v>1235</v>
      </c>
    </row>
    <row r="144" customFormat="false" ht="22.35" hidden="false" customHeight="false" outlineLevel="0" collapsed="false">
      <c r="A144" s="6" t="s">
        <v>1248</v>
      </c>
      <c r="B144" s="6" t="s">
        <v>1226</v>
      </c>
      <c r="C144" s="6" t="s">
        <v>1249</v>
      </c>
      <c r="D144" s="6" t="s">
        <v>1250</v>
      </c>
      <c r="E144" s="6" t="s">
        <v>1251</v>
      </c>
      <c r="F144" s="6" t="s">
        <v>182</v>
      </c>
      <c r="G144" s="6" t="s">
        <v>1252</v>
      </c>
      <c r="H144" s="6" t="s">
        <v>1253</v>
      </c>
      <c r="I144" s="6" t="s">
        <v>1241</v>
      </c>
      <c r="J144" s="6"/>
      <c r="K144" s="6" t="s">
        <v>1226</v>
      </c>
      <c r="L144" s="6" t="s">
        <v>83</v>
      </c>
      <c r="M144" s="6" t="s">
        <v>77</v>
      </c>
      <c r="N144" s="6" t="s">
        <v>149</v>
      </c>
      <c r="O144" s="6" t="s">
        <v>1254</v>
      </c>
      <c r="P144" s="6" t="s">
        <v>584</v>
      </c>
      <c r="Q144" s="7" t="n">
        <f aca="false">IFERROR(INDEX(Wastage_Factors!$B$2:$B$60,MATCH(P144,Wastage_Factors!$A$2:$A$60,0)),0)</f>
        <v>0.1</v>
      </c>
      <c r="R144" s="6" t="s">
        <v>244</v>
      </c>
      <c r="S144" s="6" t="s">
        <v>99</v>
      </c>
      <c r="T144" s="6" t="s">
        <v>109</v>
      </c>
      <c r="U144" s="6" t="s">
        <v>83</v>
      </c>
      <c r="V144" s="6" t="s">
        <v>1235</v>
      </c>
    </row>
    <row r="145" customFormat="false" ht="22.35" hidden="false" customHeight="false" outlineLevel="0" collapsed="false">
      <c r="A145" s="6" t="s">
        <v>1255</v>
      </c>
      <c r="B145" s="6" t="s">
        <v>1226</v>
      </c>
      <c r="C145" s="6" t="s">
        <v>1256</v>
      </c>
      <c r="D145" s="6" t="s">
        <v>1257</v>
      </c>
      <c r="E145" s="6" t="s">
        <v>1258</v>
      </c>
      <c r="F145" s="6" t="s">
        <v>115</v>
      </c>
      <c r="G145" s="6" t="s">
        <v>1226</v>
      </c>
      <c r="H145" s="6" t="s">
        <v>1259</v>
      </c>
      <c r="I145" s="6" t="s">
        <v>1186</v>
      </c>
      <c r="J145" s="6"/>
      <c r="K145" s="6" t="s">
        <v>1226</v>
      </c>
      <c r="L145" s="6" t="s">
        <v>83</v>
      </c>
      <c r="M145" s="6" t="s">
        <v>115</v>
      </c>
      <c r="N145" s="6" t="s">
        <v>149</v>
      </c>
      <c r="O145" s="6" t="s">
        <v>1260</v>
      </c>
      <c r="P145" s="6" t="s">
        <v>85</v>
      </c>
      <c r="Q145" s="7" t="n">
        <f aca="false">IFERROR(INDEX(Wastage_Factors!$B$2:$B$60,MATCH(P145,Wastage_Factors!$A$2:$A$60,0)),0)</f>
        <v>0</v>
      </c>
      <c r="R145" s="6" t="s">
        <v>938</v>
      </c>
      <c r="S145" s="6" t="s">
        <v>99</v>
      </c>
      <c r="T145" s="6" t="s">
        <v>109</v>
      </c>
      <c r="U145" s="6" t="s">
        <v>1261</v>
      </c>
      <c r="V145" s="6" t="s">
        <v>1235</v>
      </c>
    </row>
    <row r="146" customFormat="false" ht="22.35" hidden="false" customHeight="false" outlineLevel="0" collapsed="false">
      <c r="A146" s="6" t="s">
        <v>1262</v>
      </c>
      <c r="B146" s="6" t="s">
        <v>1226</v>
      </c>
      <c r="C146" s="6" t="s">
        <v>1256</v>
      </c>
      <c r="D146" s="6" t="s">
        <v>1263</v>
      </c>
      <c r="E146" s="6" t="s">
        <v>1264</v>
      </c>
      <c r="F146" s="6" t="s">
        <v>115</v>
      </c>
      <c r="G146" s="6" t="s">
        <v>1226</v>
      </c>
      <c r="H146" s="6" t="s">
        <v>1259</v>
      </c>
      <c r="I146" s="6" t="s">
        <v>1186</v>
      </c>
      <c r="J146" s="6"/>
      <c r="K146" s="6" t="s">
        <v>1226</v>
      </c>
      <c r="L146" s="6" t="s">
        <v>83</v>
      </c>
      <c r="M146" s="6" t="s">
        <v>115</v>
      </c>
      <c r="N146" s="6" t="s">
        <v>149</v>
      </c>
      <c r="O146" s="6" t="s">
        <v>1260</v>
      </c>
      <c r="P146" s="6" t="s">
        <v>85</v>
      </c>
      <c r="Q146" s="7" t="n">
        <f aca="false">IFERROR(INDEX(Wastage_Factors!$B$2:$B$60,MATCH(P146,Wastage_Factors!$A$2:$A$60,0)),0)</f>
        <v>0</v>
      </c>
      <c r="R146" s="6" t="s">
        <v>938</v>
      </c>
      <c r="S146" s="6" t="s">
        <v>99</v>
      </c>
      <c r="T146" s="6" t="s">
        <v>109</v>
      </c>
      <c r="U146" s="6" t="s">
        <v>83</v>
      </c>
      <c r="V146" s="6" t="s">
        <v>1235</v>
      </c>
    </row>
    <row r="147" customFormat="false" ht="22.35" hidden="false" customHeight="false" outlineLevel="0" collapsed="false">
      <c r="A147" s="6" t="s">
        <v>1265</v>
      </c>
      <c r="B147" s="6" t="s">
        <v>1226</v>
      </c>
      <c r="C147" s="6" t="s">
        <v>1266</v>
      </c>
      <c r="D147" s="6" t="s">
        <v>1267</v>
      </c>
      <c r="E147" s="6" t="s">
        <v>1268</v>
      </c>
      <c r="F147" s="6" t="s">
        <v>115</v>
      </c>
      <c r="G147" s="6" t="s">
        <v>1226</v>
      </c>
      <c r="H147" s="6" t="s">
        <v>1269</v>
      </c>
      <c r="I147" s="6" t="s">
        <v>1241</v>
      </c>
      <c r="J147" s="6" t="s">
        <v>1270</v>
      </c>
      <c r="K147" s="6" t="s">
        <v>1226</v>
      </c>
      <c r="L147" s="6" t="s">
        <v>83</v>
      </c>
      <c r="M147" s="6" t="s">
        <v>115</v>
      </c>
      <c r="N147" s="6" t="s">
        <v>1271</v>
      </c>
      <c r="O147" s="6"/>
      <c r="P147" s="6" t="s">
        <v>85</v>
      </c>
      <c r="Q147" s="7" t="n">
        <f aca="false">IFERROR(INDEX(Wastage_Factors!$B$2:$B$60,MATCH(P147,Wastage_Factors!$A$2:$A$60,0)),0)</f>
        <v>0</v>
      </c>
      <c r="R147" s="6" t="s">
        <v>938</v>
      </c>
      <c r="S147" s="6" t="s">
        <v>87</v>
      </c>
      <c r="T147" s="6" t="s">
        <v>109</v>
      </c>
      <c r="U147" s="6" t="s">
        <v>1272</v>
      </c>
      <c r="V147" s="6"/>
    </row>
    <row r="148" customFormat="false" ht="15" hidden="false" customHeight="false" outlineLevel="0" collapsed="false">
      <c r="A148" s="6" t="s">
        <v>1273</v>
      </c>
      <c r="B148" s="6" t="s">
        <v>1226</v>
      </c>
      <c r="C148" s="6" t="s">
        <v>1266</v>
      </c>
      <c r="D148" s="6" t="s">
        <v>1274</v>
      </c>
      <c r="E148" s="6" t="s">
        <v>83</v>
      </c>
      <c r="F148" s="6" t="s">
        <v>115</v>
      </c>
      <c r="G148" s="6" t="s">
        <v>1275</v>
      </c>
      <c r="H148" s="6" t="s">
        <v>1276</v>
      </c>
      <c r="I148" s="6" t="s">
        <v>1241</v>
      </c>
      <c r="J148" s="6" t="s">
        <v>1277</v>
      </c>
      <c r="K148" s="6" t="s">
        <v>1226</v>
      </c>
      <c r="L148" s="6" t="s">
        <v>83</v>
      </c>
      <c r="M148" s="6" t="s">
        <v>115</v>
      </c>
      <c r="N148" s="6" t="s">
        <v>1271</v>
      </c>
      <c r="O148" s="6"/>
      <c r="P148" s="6" t="s">
        <v>85</v>
      </c>
      <c r="Q148" s="7" t="n">
        <f aca="false">IFERROR(INDEX(Wastage_Factors!$B$2:$B$60,MATCH(P148,Wastage_Factors!$A$2:$A$60,0)),0)</f>
        <v>0</v>
      </c>
      <c r="R148" s="6" t="s">
        <v>938</v>
      </c>
      <c r="S148" s="6" t="s">
        <v>87</v>
      </c>
      <c r="T148" s="6" t="s">
        <v>88</v>
      </c>
      <c r="U148" s="6" t="s">
        <v>83</v>
      </c>
      <c r="V148" s="6"/>
    </row>
    <row r="149" customFormat="false" ht="22.35" hidden="false" customHeight="false" outlineLevel="0" collapsed="false">
      <c r="A149" s="6" t="s">
        <v>1278</v>
      </c>
      <c r="B149" s="6" t="s">
        <v>1226</v>
      </c>
      <c r="C149" s="6" t="s">
        <v>929</v>
      </c>
      <c r="D149" s="6" t="s">
        <v>1279</v>
      </c>
      <c r="E149" s="6" t="s">
        <v>1280</v>
      </c>
      <c r="F149" s="6" t="s">
        <v>932</v>
      </c>
      <c r="G149" s="6" t="s">
        <v>1281</v>
      </c>
      <c r="H149" s="6" t="s">
        <v>1246</v>
      </c>
      <c r="I149" s="6" t="s">
        <v>1282</v>
      </c>
      <c r="J149" s="6"/>
      <c r="K149" s="6" t="s">
        <v>1226</v>
      </c>
      <c r="L149" s="6" t="s">
        <v>83</v>
      </c>
      <c r="M149" s="6" t="s">
        <v>115</v>
      </c>
      <c r="N149" s="6" t="s">
        <v>149</v>
      </c>
      <c r="O149" s="6" t="s">
        <v>1247</v>
      </c>
      <c r="P149" s="6" t="s">
        <v>85</v>
      </c>
      <c r="Q149" s="7" t="n">
        <f aca="false">IFERROR(INDEX(Wastage_Factors!$B$2:$B$60,MATCH(P149,Wastage_Factors!$A$2:$A$60,0)),0)</f>
        <v>0</v>
      </c>
      <c r="R149" s="6" t="s">
        <v>938</v>
      </c>
      <c r="S149" s="6" t="s">
        <v>99</v>
      </c>
      <c r="T149" s="6" t="s">
        <v>88</v>
      </c>
      <c r="U149" s="6" t="s">
        <v>83</v>
      </c>
      <c r="V149" s="6" t="s">
        <v>1235</v>
      </c>
    </row>
    <row r="150" customFormat="false" ht="22.35" hidden="false" customHeight="false" outlineLevel="0" collapsed="false">
      <c r="A150" s="6" t="s">
        <v>1283</v>
      </c>
      <c r="B150" s="6" t="s">
        <v>1226</v>
      </c>
      <c r="C150" s="6" t="s">
        <v>1266</v>
      </c>
      <c r="D150" s="6" t="s">
        <v>1284</v>
      </c>
      <c r="E150" s="6" t="s">
        <v>83</v>
      </c>
      <c r="F150" s="6" t="s">
        <v>115</v>
      </c>
      <c r="G150" s="6" t="s">
        <v>1285</v>
      </c>
      <c r="H150" s="6" t="s">
        <v>1286</v>
      </c>
      <c r="I150" s="6" t="s">
        <v>1241</v>
      </c>
      <c r="J150" s="6"/>
      <c r="K150" s="6" t="s">
        <v>1226</v>
      </c>
      <c r="L150" s="6" t="s">
        <v>83</v>
      </c>
      <c r="M150" s="6" t="s">
        <v>115</v>
      </c>
      <c r="N150" s="6" t="s">
        <v>1287</v>
      </c>
      <c r="O150" s="6"/>
      <c r="P150" s="6" t="s">
        <v>85</v>
      </c>
      <c r="Q150" s="7" t="n">
        <f aca="false">IFERROR(INDEX(Wastage_Factors!$B$2:$B$60,MATCH(P150,Wastage_Factors!$A$2:$A$60,0)),0)</f>
        <v>0</v>
      </c>
      <c r="R150" s="6" t="s">
        <v>938</v>
      </c>
      <c r="S150" s="6" t="s">
        <v>87</v>
      </c>
      <c r="T150" s="6" t="s">
        <v>1169</v>
      </c>
      <c r="U150" s="6" t="s">
        <v>1288</v>
      </c>
      <c r="V150" s="6"/>
    </row>
    <row r="151" customFormat="false" ht="22.35" hidden="false" customHeight="false" outlineLevel="0" collapsed="false">
      <c r="A151" s="6" t="s">
        <v>1289</v>
      </c>
      <c r="B151" s="6" t="s">
        <v>1226</v>
      </c>
      <c r="C151" s="6" t="s">
        <v>1227</v>
      </c>
      <c r="D151" s="6" t="s">
        <v>1290</v>
      </c>
      <c r="E151" s="6" t="s">
        <v>1291</v>
      </c>
      <c r="F151" s="6" t="s">
        <v>77</v>
      </c>
      <c r="G151" s="6" t="s">
        <v>1292</v>
      </c>
      <c r="H151" s="6" t="s">
        <v>1231</v>
      </c>
      <c r="I151" s="6" t="s">
        <v>1282</v>
      </c>
      <c r="J151" s="6"/>
      <c r="K151" s="6" t="s">
        <v>1226</v>
      </c>
      <c r="L151" s="6" t="s">
        <v>83</v>
      </c>
      <c r="M151" s="6" t="s">
        <v>77</v>
      </c>
      <c r="N151" s="6" t="s">
        <v>149</v>
      </c>
      <c r="O151" s="6" t="s">
        <v>1233</v>
      </c>
      <c r="P151" s="6" t="s">
        <v>184</v>
      </c>
      <c r="Q151" s="7" t="n">
        <f aca="false">IFERROR(INDEX(Wastage_Factors!$B$2:$B$60,MATCH(P151,Wastage_Factors!$A$2:$A$60,0)),0)</f>
        <v>0.05</v>
      </c>
      <c r="R151" s="6" t="s">
        <v>244</v>
      </c>
      <c r="S151" s="6" t="s">
        <v>99</v>
      </c>
      <c r="T151" s="6" t="s">
        <v>88</v>
      </c>
      <c r="U151" s="6" t="s">
        <v>83</v>
      </c>
      <c r="V151" s="6" t="s">
        <v>1235</v>
      </c>
    </row>
    <row r="152" customFormat="false" ht="32.8" hidden="false" customHeight="false" outlineLevel="0" collapsed="false">
      <c r="A152" s="6" t="s">
        <v>1293</v>
      </c>
      <c r="B152" s="6" t="s">
        <v>1294</v>
      </c>
      <c r="C152" s="6" t="s">
        <v>1295</v>
      </c>
      <c r="D152" s="6" t="s">
        <v>1296</v>
      </c>
      <c r="E152" s="6" t="s">
        <v>1297</v>
      </c>
      <c r="F152" s="6" t="s">
        <v>77</v>
      </c>
      <c r="G152" s="6" t="s">
        <v>1298</v>
      </c>
      <c r="H152" s="6" t="s">
        <v>1299</v>
      </c>
      <c r="I152" s="6" t="s">
        <v>1300</v>
      </c>
      <c r="J152" s="6" t="s">
        <v>1301</v>
      </c>
      <c r="K152" s="6" t="s">
        <v>689</v>
      </c>
      <c r="L152" s="6" t="s">
        <v>1302</v>
      </c>
      <c r="M152" s="6" t="s">
        <v>77</v>
      </c>
      <c r="N152" s="6" t="s">
        <v>149</v>
      </c>
      <c r="O152" s="6" t="s">
        <v>1303</v>
      </c>
      <c r="P152" s="6" t="s">
        <v>1304</v>
      </c>
      <c r="Q152" s="7" t="n">
        <f aca="false">IFERROR(INDEX(Wastage_Factors!$B$2:$B$60,MATCH(P152,Wastage_Factors!$A$2:$A$60,0)),0)</f>
        <v>0.07</v>
      </c>
      <c r="R152" s="6" t="s">
        <v>1305</v>
      </c>
      <c r="S152" s="6" t="s">
        <v>99</v>
      </c>
      <c r="T152" s="6" t="s">
        <v>225</v>
      </c>
      <c r="U152" s="6" t="s">
        <v>1306</v>
      </c>
      <c r="V152" s="6" t="s">
        <v>1307</v>
      </c>
    </row>
    <row r="153" customFormat="false" ht="22.35" hidden="false" customHeight="false" outlineLevel="0" collapsed="false">
      <c r="A153" s="6" t="s">
        <v>1308</v>
      </c>
      <c r="B153" s="6" t="s">
        <v>1294</v>
      </c>
      <c r="C153" s="6" t="s">
        <v>1295</v>
      </c>
      <c r="D153" s="6" t="s">
        <v>1309</v>
      </c>
      <c r="E153" s="6" t="s">
        <v>83</v>
      </c>
      <c r="F153" s="6" t="s">
        <v>77</v>
      </c>
      <c r="G153" s="6" t="s">
        <v>1310</v>
      </c>
      <c r="H153" s="6" t="s">
        <v>1311</v>
      </c>
      <c r="I153" s="6" t="s">
        <v>1186</v>
      </c>
      <c r="J153" s="6"/>
      <c r="K153" s="6" t="s">
        <v>689</v>
      </c>
      <c r="L153" s="6" t="s">
        <v>1312</v>
      </c>
      <c r="M153" s="6" t="s">
        <v>77</v>
      </c>
      <c r="N153" s="6" t="s">
        <v>149</v>
      </c>
      <c r="O153" s="6" t="s">
        <v>1313</v>
      </c>
      <c r="P153" s="6" t="s">
        <v>1304</v>
      </c>
      <c r="Q153" s="7" t="n">
        <f aca="false">IFERROR(INDEX(Wastage_Factors!$B$2:$B$60,MATCH(P153,Wastage_Factors!$A$2:$A$60,0)),0)</f>
        <v>0.07</v>
      </c>
      <c r="R153" s="6" t="s">
        <v>1305</v>
      </c>
      <c r="S153" s="6" t="s">
        <v>99</v>
      </c>
      <c r="T153" s="6" t="s">
        <v>225</v>
      </c>
      <c r="U153" s="6" t="s">
        <v>1314</v>
      </c>
      <c r="V153" s="6"/>
    </row>
    <row r="154" customFormat="false" ht="22.35" hidden="false" customHeight="false" outlineLevel="0" collapsed="false">
      <c r="A154" s="6" t="s">
        <v>1315</v>
      </c>
      <c r="B154" s="6" t="s">
        <v>1294</v>
      </c>
      <c r="C154" s="6" t="s">
        <v>1295</v>
      </c>
      <c r="D154" s="6" t="s">
        <v>1316</v>
      </c>
      <c r="E154" s="6" t="s">
        <v>83</v>
      </c>
      <c r="F154" s="6" t="s">
        <v>77</v>
      </c>
      <c r="G154" s="6" t="s">
        <v>1317</v>
      </c>
      <c r="H154" s="6" t="s">
        <v>1318</v>
      </c>
      <c r="I154" s="6" t="s">
        <v>1319</v>
      </c>
      <c r="J154" s="6"/>
      <c r="K154" s="6" t="s">
        <v>689</v>
      </c>
      <c r="L154" s="6" t="s">
        <v>1312</v>
      </c>
      <c r="M154" s="6" t="s">
        <v>77</v>
      </c>
      <c r="N154" s="6" t="s">
        <v>1320</v>
      </c>
      <c r="O154" s="6"/>
      <c r="P154" s="6" t="s">
        <v>1304</v>
      </c>
      <c r="Q154" s="7" t="n">
        <f aca="false">IFERROR(INDEX(Wastage_Factors!$B$2:$B$60,MATCH(P154,Wastage_Factors!$A$2:$A$60,0)),0)</f>
        <v>0.07</v>
      </c>
      <c r="R154" s="6" t="s">
        <v>1305</v>
      </c>
      <c r="S154" s="6" t="s">
        <v>99</v>
      </c>
      <c r="T154" s="6" t="s">
        <v>225</v>
      </c>
      <c r="U154" s="6" t="s">
        <v>1321</v>
      </c>
      <c r="V154" s="6"/>
    </row>
    <row r="155" customFormat="false" ht="32.8" hidden="false" customHeight="false" outlineLevel="0" collapsed="false">
      <c r="A155" s="6" t="s">
        <v>1322</v>
      </c>
      <c r="B155" s="6" t="s">
        <v>1294</v>
      </c>
      <c r="C155" s="6" t="s">
        <v>1295</v>
      </c>
      <c r="D155" s="6" t="s">
        <v>1323</v>
      </c>
      <c r="E155" s="6" t="s">
        <v>1324</v>
      </c>
      <c r="F155" s="6" t="s">
        <v>77</v>
      </c>
      <c r="G155" s="6" t="s">
        <v>1325</v>
      </c>
      <c r="H155" s="6" t="s">
        <v>1326</v>
      </c>
      <c r="I155" s="6" t="s">
        <v>1327</v>
      </c>
      <c r="J155" s="6"/>
      <c r="K155" s="6" t="s">
        <v>689</v>
      </c>
      <c r="L155" s="6" t="s">
        <v>1312</v>
      </c>
      <c r="M155" s="6" t="s">
        <v>77</v>
      </c>
      <c r="N155" s="6" t="s">
        <v>1328</v>
      </c>
      <c r="O155" s="6"/>
      <c r="P155" s="6" t="s">
        <v>1304</v>
      </c>
      <c r="Q155" s="7" t="n">
        <f aca="false">IFERROR(INDEX(Wastage_Factors!$B$2:$B$60,MATCH(P155,Wastage_Factors!$A$2:$A$60,0)),0)</f>
        <v>0.07</v>
      </c>
      <c r="R155" s="6" t="s">
        <v>1305</v>
      </c>
      <c r="S155" s="6" t="s">
        <v>99</v>
      </c>
      <c r="T155" s="6" t="s">
        <v>225</v>
      </c>
      <c r="U155" s="6" t="s">
        <v>1329</v>
      </c>
      <c r="V155" s="6"/>
    </row>
    <row r="156" customFormat="false" ht="22.35" hidden="false" customHeight="false" outlineLevel="0" collapsed="false">
      <c r="A156" s="6" t="s">
        <v>1330</v>
      </c>
      <c r="B156" s="6" t="s">
        <v>1294</v>
      </c>
      <c r="C156" s="6" t="s">
        <v>1295</v>
      </c>
      <c r="D156" s="6" t="s">
        <v>1331</v>
      </c>
      <c r="E156" s="6" t="s">
        <v>1332</v>
      </c>
      <c r="F156" s="6" t="s">
        <v>77</v>
      </c>
      <c r="G156" s="6" t="s">
        <v>1333</v>
      </c>
      <c r="H156" s="6" t="s">
        <v>1334</v>
      </c>
      <c r="I156" s="6" t="s">
        <v>1186</v>
      </c>
      <c r="J156" s="6" t="s">
        <v>1335</v>
      </c>
      <c r="K156" s="6" t="s">
        <v>689</v>
      </c>
      <c r="L156" s="6" t="s">
        <v>1312</v>
      </c>
      <c r="M156" s="6" t="s">
        <v>77</v>
      </c>
      <c r="N156" s="6" t="s">
        <v>149</v>
      </c>
      <c r="O156" s="6" t="s">
        <v>1336</v>
      </c>
      <c r="P156" s="6" t="s">
        <v>1304</v>
      </c>
      <c r="Q156" s="7" t="n">
        <f aca="false">IFERROR(INDEX(Wastage_Factors!$B$2:$B$60,MATCH(P156,Wastage_Factors!$A$2:$A$60,0)),0)</f>
        <v>0.07</v>
      </c>
      <c r="R156" s="6" t="s">
        <v>1305</v>
      </c>
      <c r="S156" s="6" t="s">
        <v>99</v>
      </c>
      <c r="T156" s="6" t="s">
        <v>225</v>
      </c>
      <c r="U156" s="6" t="s">
        <v>1337</v>
      </c>
      <c r="V156" s="6" t="s">
        <v>1307</v>
      </c>
    </row>
    <row r="157" customFormat="false" ht="22.35" hidden="false" customHeight="false" outlineLevel="0" collapsed="false">
      <c r="A157" s="6" t="s">
        <v>1338</v>
      </c>
      <c r="B157" s="6" t="s">
        <v>1294</v>
      </c>
      <c r="C157" s="6" t="s">
        <v>1339</v>
      </c>
      <c r="D157" s="6" t="s">
        <v>1340</v>
      </c>
      <c r="E157" s="6" t="s">
        <v>1341</v>
      </c>
      <c r="F157" s="6" t="s">
        <v>115</v>
      </c>
      <c r="G157" s="6" t="s">
        <v>1342</v>
      </c>
      <c r="H157" s="6" t="s">
        <v>1343</v>
      </c>
      <c r="I157" s="6" t="s">
        <v>1186</v>
      </c>
      <c r="J157" s="6"/>
      <c r="K157" s="6" t="s">
        <v>689</v>
      </c>
      <c r="L157" s="6" t="s">
        <v>1344</v>
      </c>
      <c r="M157" s="6" t="s">
        <v>115</v>
      </c>
      <c r="N157" s="6" t="s">
        <v>149</v>
      </c>
      <c r="O157" s="6" t="s">
        <v>1345</v>
      </c>
      <c r="P157" s="6" t="s">
        <v>1346</v>
      </c>
      <c r="Q157" s="7" t="n">
        <f aca="false">IFERROR(INDEX(Wastage_Factors!$B$2:$B$60,MATCH(P157,Wastage_Factors!$A$2:$A$60,0)),0)</f>
        <v>0.05</v>
      </c>
      <c r="R157" s="6" t="s">
        <v>1305</v>
      </c>
      <c r="S157" s="6" t="s">
        <v>99</v>
      </c>
      <c r="T157" s="6" t="s">
        <v>225</v>
      </c>
      <c r="U157" s="6" t="s">
        <v>1347</v>
      </c>
      <c r="V157" s="6" t="s">
        <v>1348</v>
      </c>
    </row>
    <row r="158" customFormat="false" ht="22.35" hidden="false" customHeight="false" outlineLevel="0" collapsed="false">
      <c r="A158" s="6" t="s">
        <v>1349</v>
      </c>
      <c r="B158" s="6" t="s">
        <v>1294</v>
      </c>
      <c r="C158" s="6" t="s">
        <v>1339</v>
      </c>
      <c r="D158" s="6" t="s">
        <v>1350</v>
      </c>
      <c r="E158" s="6" t="s">
        <v>1351</v>
      </c>
      <c r="F158" s="6" t="s">
        <v>115</v>
      </c>
      <c r="G158" s="6" t="s">
        <v>1352</v>
      </c>
      <c r="H158" s="6" t="s">
        <v>1353</v>
      </c>
      <c r="I158" s="6" t="s">
        <v>1186</v>
      </c>
      <c r="J158" s="6"/>
      <c r="K158" s="6" t="s">
        <v>689</v>
      </c>
      <c r="L158" s="6" t="s">
        <v>83</v>
      </c>
      <c r="M158" s="6" t="s">
        <v>115</v>
      </c>
      <c r="N158" s="6" t="s">
        <v>1354</v>
      </c>
      <c r="O158" s="6"/>
      <c r="P158" s="6" t="s">
        <v>1346</v>
      </c>
      <c r="Q158" s="7" t="n">
        <f aca="false">IFERROR(INDEX(Wastage_Factors!$B$2:$B$60,MATCH(P158,Wastage_Factors!$A$2:$A$60,0)),0)</f>
        <v>0.05</v>
      </c>
      <c r="R158" s="6" t="s">
        <v>1305</v>
      </c>
      <c r="S158" s="6" t="s">
        <v>99</v>
      </c>
      <c r="T158" s="6" t="s">
        <v>109</v>
      </c>
      <c r="U158" s="6" t="s">
        <v>83</v>
      </c>
      <c r="V158" s="6"/>
    </row>
    <row r="159" customFormat="false" ht="22.35" hidden="false" customHeight="false" outlineLevel="0" collapsed="false">
      <c r="A159" s="6" t="s">
        <v>1355</v>
      </c>
      <c r="B159" s="6" t="s">
        <v>1294</v>
      </c>
      <c r="C159" s="6" t="s">
        <v>1356</v>
      </c>
      <c r="D159" s="6" t="s">
        <v>1357</v>
      </c>
      <c r="E159" s="6" t="s">
        <v>1358</v>
      </c>
      <c r="F159" s="6" t="s">
        <v>115</v>
      </c>
      <c r="G159" s="6" t="s">
        <v>1359</v>
      </c>
      <c r="H159" s="6" t="s">
        <v>1311</v>
      </c>
      <c r="I159" s="6" t="s">
        <v>1360</v>
      </c>
      <c r="J159" s="6"/>
      <c r="K159" s="6" t="s">
        <v>689</v>
      </c>
      <c r="L159" s="6" t="s">
        <v>83</v>
      </c>
      <c r="M159" s="6" t="s">
        <v>115</v>
      </c>
      <c r="N159" s="6" t="s">
        <v>149</v>
      </c>
      <c r="O159" s="6" t="s">
        <v>1313</v>
      </c>
      <c r="P159" s="6" t="s">
        <v>85</v>
      </c>
      <c r="Q159" s="7" t="n">
        <f aca="false">IFERROR(INDEX(Wastage_Factors!$B$2:$B$60,MATCH(P159,Wastage_Factors!$A$2:$A$60,0)),0)</f>
        <v>0</v>
      </c>
      <c r="R159" s="6" t="s">
        <v>1305</v>
      </c>
      <c r="S159" s="6" t="s">
        <v>99</v>
      </c>
      <c r="T159" s="6" t="s">
        <v>225</v>
      </c>
      <c r="U159" s="6" t="s">
        <v>1361</v>
      </c>
      <c r="V159" s="6"/>
    </row>
    <row r="160" customFormat="false" ht="15" hidden="false" customHeight="false" outlineLevel="0" collapsed="false">
      <c r="A160" s="6" t="s">
        <v>1362</v>
      </c>
      <c r="B160" s="6" t="s">
        <v>1294</v>
      </c>
      <c r="C160" s="6" t="s">
        <v>1356</v>
      </c>
      <c r="D160" s="6" t="s">
        <v>1363</v>
      </c>
      <c r="E160" s="6" t="s">
        <v>1351</v>
      </c>
      <c r="F160" s="6" t="s">
        <v>115</v>
      </c>
      <c r="G160" s="6" t="s">
        <v>1364</v>
      </c>
      <c r="H160" s="6" t="s">
        <v>1365</v>
      </c>
      <c r="I160" s="6" t="s">
        <v>1366</v>
      </c>
      <c r="J160" s="6"/>
      <c r="K160" s="6" t="s">
        <v>689</v>
      </c>
      <c r="L160" s="6" t="s">
        <v>83</v>
      </c>
      <c r="M160" s="6" t="s">
        <v>115</v>
      </c>
      <c r="N160" s="6" t="s">
        <v>1367</v>
      </c>
      <c r="O160" s="6"/>
      <c r="P160" s="6" t="s">
        <v>85</v>
      </c>
      <c r="Q160" s="7" t="n">
        <f aca="false">IFERROR(INDEX(Wastage_Factors!$B$2:$B$60,MATCH(P160,Wastage_Factors!$A$2:$A$60,0)),0)</f>
        <v>0</v>
      </c>
      <c r="R160" s="6" t="s">
        <v>1305</v>
      </c>
      <c r="S160" s="6" t="s">
        <v>99</v>
      </c>
      <c r="T160" s="6" t="s">
        <v>109</v>
      </c>
      <c r="U160" s="6" t="s">
        <v>83</v>
      </c>
      <c r="V160" s="6"/>
    </row>
    <row r="161" customFormat="false" ht="15" hidden="false" customHeight="false" outlineLevel="0" collapsed="false">
      <c r="A161" s="6" t="s">
        <v>1368</v>
      </c>
      <c r="B161" s="6" t="s">
        <v>1294</v>
      </c>
      <c r="C161" s="6" t="s">
        <v>1356</v>
      </c>
      <c r="D161" s="6" t="s">
        <v>1369</v>
      </c>
      <c r="E161" s="6" t="s">
        <v>1370</v>
      </c>
      <c r="F161" s="6" t="s">
        <v>115</v>
      </c>
      <c r="G161" s="6" t="s">
        <v>1371</v>
      </c>
      <c r="H161" s="6" t="s">
        <v>1372</v>
      </c>
      <c r="I161" s="6" t="s">
        <v>1373</v>
      </c>
      <c r="J161" s="6"/>
      <c r="K161" s="6" t="s">
        <v>689</v>
      </c>
      <c r="L161" s="6" t="s">
        <v>83</v>
      </c>
      <c r="M161" s="6" t="s">
        <v>115</v>
      </c>
      <c r="N161" s="6" t="s">
        <v>1374</v>
      </c>
      <c r="O161" s="6"/>
      <c r="P161" s="6" t="s">
        <v>85</v>
      </c>
      <c r="Q161" s="7" t="n">
        <f aca="false">IFERROR(INDEX(Wastage_Factors!$B$2:$B$60,MATCH(P161,Wastage_Factors!$A$2:$A$60,0)),0)</f>
        <v>0</v>
      </c>
      <c r="R161" s="6" t="s">
        <v>1305</v>
      </c>
      <c r="S161" s="6" t="s">
        <v>99</v>
      </c>
      <c r="T161" s="6" t="s">
        <v>225</v>
      </c>
      <c r="U161" s="6" t="s">
        <v>1375</v>
      </c>
      <c r="V161" s="6"/>
    </row>
    <row r="162" customFormat="false" ht="22.35" hidden="false" customHeight="false" outlineLevel="0" collapsed="false">
      <c r="A162" s="6" t="s">
        <v>1376</v>
      </c>
      <c r="B162" s="6" t="s">
        <v>1294</v>
      </c>
      <c r="C162" s="6" t="s">
        <v>1356</v>
      </c>
      <c r="D162" s="6" t="s">
        <v>1377</v>
      </c>
      <c r="E162" s="6" t="s">
        <v>1378</v>
      </c>
      <c r="F162" s="6" t="s">
        <v>115</v>
      </c>
      <c r="G162" s="6" t="s">
        <v>1379</v>
      </c>
      <c r="H162" s="6" t="s">
        <v>1380</v>
      </c>
      <c r="I162" s="6" t="s">
        <v>1381</v>
      </c>
      <c r="J162" s="6"/>
      <c r="K162" s="6" t="s">
        <v>689</v>
      </c>
      <c r="L162" s="6" t="s">
        <v>83</v>
      </c>
      <c r="M162" s="6" t="s">
        <v>115</v>
      </c>
      <c r="N162" s="6" t="s">
        <v>1382</v>
      </c>
      <c r="O162" s="6"/>
      <c r="P162" s="6" t="s">
        <v>85</v>
      </c>
      <c r="Q162" s="7" t="n">
        <f aca="false">IFERROR(INDEX(Wastage_Factors!$B$2:$B$60,MATCH(P162,Wastage_Factors!$A$2:$A$60,0)),0)</f>
        <v>0</v>
      </c>
      <c r="R162" s="6" t="s">
        <v>938</v>
      </c>
      <c r="S162" s="6" t="s">
        <v>99</v>
      </c>
      <c r="T162" s="6" t="s">
        <v>88</v>
      </c>
      <c r="U162" s="6" t="s">
        <v>83</v>
      </c>
      <c r="V162" s="6"/>
    </row>
    <row r="163" customFormat="false" ht="15" hidden="false" customHeight="false" outlineLevel="0" collapsed="false">
      <c r="A163" s="6" t="s">
        <v>1383</v>
      </c>
      <c r="B163" s="6" t="s">
        <v>1294</v>
      </c>
      <c r="C163" s="6" t="s">
        <v>1384</v>
      </c>
      <c r="D163" s="6" t="s">
        <v>1385</v>
      </c>
      <c r="E163" s="6" t="s">
        <v>1386</v>
      </c>
      <c r="F163" s="6" t="s">
        <v>115</v>
      </c>
      <c r="G163" s="6" t="s">
        <v>1387</v>
      </c>
      <c r="H163" s="6" t="s">
        <v>1388</v>
      </c>
      <c r="I163" s="6" t="s">
        <v>1389</v>
      </c>
      <c r="J163" s="6" t="s">
        <v>1390</v>
      </c>
      <c r="K163" s="6" t="s">
        <v>689</v>
      </c>
      <c r="L163" s="6" t="s">
        <v>83</v>
      </c>
      <c r="M163" s="6" t="s">
        <v>115</v>
      </c>
      <c r="N163" s="6" t="s">
        <v>1391</v>
      </c>
      <c r="O163" s="6"/>
      <c r="P163" s="6" t="s">
        <v>85</v>
      </c>
      <c r="Q163" s="7" t="n">
        <f aca="false">IFERROR(INDEX(Wastage_Factors!$B$2:$B$60,MATCH(P163,Wastage_Factors!$A$2:$A$60,0)),0)</f>
        <v>0</v>
      </c>
      <c r="R163" s="6" t="s">
        <v>202</v>
      </c>
      <c r="S163" s="6" t="s">
        <v>99</v>
      </c>
      <c r="T163" s="6" t="s">
        <v>88</v>
      </c>
      <c r="U163" s="6" t="s">
        <v>83</v>
      </c>
      <c r="V163" s="6"/>
    </row>
    <row r="164" customFormat="false" ht="22.35" hidden="false" customHeight="false" outlineLevel="0" collapsed="false">
      <c r="A164" s="6" t="s">
        <v>1392</v>
      </c>
      <c r="B164" s="6" t="s">
        <v>1294</v>
      </c>
      <c r="C164" s="6" t="s">
        <v>1393</v>
      </c>
      <c r="D164" s="6" t="s">
        <v>1394</v>
      </c>
      <c r="E164" s="6" t="s">
        <v>1395</v>
      </c>
      <c r="F164" s="6" t="s">
        <v>115</v>
      </c>
      <c r="G164" s="6" t="s">
        <v>1396</v>
      </c>
      <c r="H164" s="6" t="s">
        <v>1397</v>
      </c>
      <c r="I164" s="6" t="s">
        <v>1373</v>
      </c>
      <c r="J164" s="6"/>
      <c r="K164" s="6" t="s">
        <v>689</v>
      </c>
      <c r="L164" s="6" t="s">
        <v>83</v>
      </c>
      <c r="M164" s="6" t="s">
        <v>115</v>
      </c>
      <c r="N164" s="6" t="s">
        <v>1398</v>
      </c>
      <c r="O164" s="6"/>
      <c r="P164" s="6" t="s">
        <v>85</v>
      </c>
      <c r="Q164" s="7" t="n">
        <f aca="false">IFERROR(INDEX(Wastage_Factors!$B$2:$B$60,MATCH(P164,Wastage_Factors!$A$2:$A$60,0)),0)</f>
        <v>0</v>
      </c>
      <c r="R164" s="6" t="s">
        <v>938</v>
      </c>
      <c r="S164" s="6" t="s">
        <v>99</v>
      </c>
      <c r="T164" s="6" t="s">
        <v>225</v>
      </c>
      <c r="U164" s="6" t="s">
        <v>1375</v>
      </c>
      <c r="V164" s="6"/>
    </row>
    <row r="165" customFormat="false" ht="15" hidden="false" customHeight="false" outlineLevel="0" collapsed="false">
      <c r="A165" s="6" t="s">
        <v>1399</v>
      </c>
      <c r="B165" s="6" t="s">
        <v>1294</v>
      </c>
      <c r="C165" s="6" t="s">
        <v>1393</v>
      </c>
      <c r="D165" s="6" t="s">
        <v>1400</v>
      </c>
      <c r="E165" s="6" t="s">
        <v>1401</v>
      </c>
      <c r="F165" s="6" t="s">
        <v>115</v>
      </c>
      <c r="G165" s="6" t="s">
        <v>1402</v>
      </c>
      <c r="H165" s="6" t="s">
        <v>1403</v>
      </c>
      <c r="I165" s="6" t="s">
        <v>349</v>
      </c>
      <c r="J165" s="6"/>
      <c r="K165" s="6" t="s">
        <v>689</v>
      </c>
      <c r="L165" s="6" t="s">
        <v>83</v>
      </c>
      <c r="M165" s="6" t="s">
        <v>115</v>
      </c>
      <c r="N165" s="6" t="s">
        <v>1391</v>
      </c>
      <c r="O165" s="6"/>
      <c r="P165" s="6" t="s">
        <v>85</v>
      </c>
      <c r="Q165" s="7" t="n">
        <f aca="false">IFERROR(INDEX(Wastage_Factors!$B$2:$B$60,MATCH(P165,Wastage_Factors!$A$2:$A$60,0)),0)</f>
        <v>0</v>
      </c>
      <c r="R165" s="6" t="s">
        <v>938</v>
      </c>
      <c r="S165" s="6" t="s">
        <v>99</v>
      </c>
      <c r="T165" s="6" t="s">
        <v>109</v>
      </c>
      <c r="U165" s="6" t="s">
        <v>1404</v>
      </c>
      <c r="V165" s="6"/>
    </row>
    <row r="166" customFormat="false" ht="22.35" hidden="false" customHeight="false" outlineLevel="0" collapsed="false">
      <c r="A166" s="6" t="s">
        <v>1405</v>
      </c>
      <c r="B166" s="6" t="s">
        <v>1294</v>
      </c>
      <c r="C166" s="6" t="s">
        <v>1406</v>
      </c>
      <c r="D166" s="6" t="s">
        <v>1407</v>
      </c>
      <c r="E166" s="6" t="s">
        <v>1408</v>
      </c>
      <c r="F166" s="6" t="s">
        <v>77</v>
      </c>
      <c r="G166" s="6" t="s">
        <v>1409</v>
      </c>
      <c r="H166" s="6" t="s">
        <v>1410</v>
      </c>
      <c r="I166" s="6" t="s">
        <v>1411</v>
      </c>
      <c r="J166" s="6" t="s">
        <v>1412</v>
      </c>
      <c r="K166" s="6" t="s">
        <v>689</v>
      </c>
      <c r="L166" s="6" t="s">
        <v>83</v>
      </c>
      <c r="M166" s="6" t="s">
        <v>77</v>
      </c>
      <c r="N166" s="6" t="s">
        <v>1413</v>
      </c>
      <c r="O166" s="6"/>
      <c r="P166" s="6" t="s">
        <v>85</v>
      </c>
      <c r="Q166" s="7" t="n">
        <f aca="false">IFERROR(INDEX(Wastage_Factors!$B$2:$B$60,MATCH(P166,Wastage_Factors!$A$2:$A$60,0)),0)</f>
        <v>0</v>
      </c>
      <c r="R166" s="6" t="s">
        <v>132</v>
      </c>
      <c r="S166" s="6" t="s">
        <v>193</v>
      </c>
      <c r="T166" s="6" t="s">
        <v>225</v>
      </c>
      <c r="U166" s="6" t="s">
        <v>1375</v>
      </c>
      <c r="V166" s="6"/>
    </row>
    <row r="167" customFormat="false" ht="22.35" hidden="false" customHeight="false" outlineLevel="0" collapsed="false">
      <c r="A167" s="6" t="s">
        <v>1414</v>
      </c>
      <c r="B167" s="6" t="s">
        <v>1294</v>
      </c>
      <c r="C167" s="6" t="s">
        <v>1415</v>
      </c>
      <c r="D167" s="6" t="s">
        <v>1416</v>
      </c>
      <c r="E167" s="6" t="s">
        <v>1417</v>
      </c>
      <c r="F167" s="6" t="s">
        <v>115</v>
      </c>
      <c r="G167" s="6" t="s">
        <v>1418</v>
      </c>
      <c r="H167" s="6" t="s">
        <v>1419</v>
      </c>
      <c r="I167" s="6" t="s">
        <v>1420</v>
      </c>
      <c r="J167" s="6" t="s">
        <v>1421</v>
      </c>
      <c r="K167" s="6" t="s">
        <v>689</v>
      </c>
      <c r="L167" s="6" t="s">
        <v>83</v>
      </c>
      <c r="M167" s="6" t="s">
        <v>115</v>
      </c>
      <c r="N167" s="6" t="s">
        <v>1422</v>
      </c>
      <c r="O167" s="6"/>
      <c r="P167" s="6" t="s">
        <v>85</v>
      </c>
      <c r="Q167" s="7" t="n">
        <f aca="false">IFERROR(INDEX(Wastage_Factors!$B$2:$B$60,MATCH(P167,Wastage_Factors!$A$2:$A$60,0)),0)</f>
        <v>0</v>
      </c>
      <c r="R167" s="6" t="s">
        <v>938</v>
      </c>
      <c r="S167" s="6" t="s">
        <v>99</v>
      </c>
      <c r="T167" s="6" t="s">
        <v>1169</v>
      </c>
      <c r="U167" s="6" t="s">
        <v>1423</v>
      </c>
      <c r="V167" s="6"/>
    </row>
    <row r="168" customFormat="false" ht="22.35" hidden="false" customHeight="false" outlineLevel="0" collapsed="false">
      <c r="A168" s="6" t="s">
        <v>1424</v>
      </c>
      <c r="B168" s="6" t="s">
        <v>1294</v>
      </c>
      <c r="C168" s="6" t="s">
        <v>667</v>
      </c>
      <c r="D168" s="6" t="s">
        <v>1425</v>
      </c>
      <c r="E168" s="6" t="s">
        <v>1426</v>
      </c>
      <c r="F168" s="6" t="s">
        <v>77</v>
      </c>
      <c r="G168" s="6" t="s">
        <v>1427</v>
      </c>
      <c r="H168" s="6" t="s">
        <v>1428</v>
      </c>
      <c r="I168" s="6" t="s">
        <v>1429</v>
      </c>
      <c r="J168" s="6"/>
      <c r="K168" s="6" t="s">
        <v>689</v>
      </c>
      <c r="L168" s="6" t="s">
        <v>83</v>
      </c>
      <c r="M168" s="6" t="s">
        <v>77</v>
      </c>
      <c r="N168" s="6" t="s">
        <v>1430</v>
      </c>
      <c r="O168" s="6"/>
      <c r="P168" s="6" t="s">
        <v>1304</v>
      </c>
      <c r="Q168" s="7" t="n">
        <f aca="false">IFERROR(INDEX(Wastage_Factors!$B$2:$B$60,MATCH(P168,Wastage_Factors!$A$2:$A$60,0)),0)</f>
        <v>0.07</v>
      </c>
      <c r="R168" s="6" t="s">
        <v>1305</v>
      </c>
      <c r="S168" s="6" t="s">
        <v>99</v>
      </c>
      <c r="T168" s="6" t="s">
        <v>225</v>
      </c>
      <c r="U168" s="6" t="s">
        <v>1431</v>
      </c>
      <c r="V168" s="6"/>
    </row>
    <row r="169" customFormat="false" ht="22.35" hidden="false" customHeight="false" outlineLevel="0" collapsed="false">
      <c r="A169" s="6" t="s">
        <v>1432</v>
      </c>
      <c r="B169" s="6" t="s">
        <v>1294</v>
      </c>
      <c r="C169" s="6" t="s">
        <v>1433</v>
      </c>
      <c r="D169" s="6" t="s">
        <v>1434</v>
      </c>
      <c r="E169" s="6" t="s">
        <v>1435</v>
      </c>
      <c r="F169" s="6" t="s">
        <v>115</v>
      </c>
      <c r="G169" s="6" t="s">
        <v>1436</v>
      </c>
      <c r="H169" s="6" t="s">
        <v>1311</v>
      </c>
      <c r="I169" s="6" t="s">
        <v>1429</v>
      </c>
      <c r="J169" s="6"/>
      <c r="K169" s="6" t="s">
        <v>689</v>
      </c>
      <c r="L169" s="6" t="s">
        <v>83</v>
      </c>
      <c r="M169" s="6" t="s">
        <v>115</v>
      </c>
      <c r="N169" s="6" t="s">
        <v>149</v>
      </c>
      <c r="O169" s="6" t="s">
        <v>1313</v>
      </c>
      <c r="P169" s="6" t="s">
        <v>1346</v>
      </c>
      <c r="Q169" s="7" t="n">
        <f aca="false">IFERROR(INDEX(Wastage_Factors!$B$2:$B$60,MATCH(P169,Wastage_Factors!$A$2:$A$60,0)),0)</f>
        <v>0.05</v>
      </c>
      <c r="R169" s="6" t="s">
        <v>1305</v>
      </c>
      <c r="S169" s="6" t="s">
        <v>99</v>
      </c>
      <c r="T169" s="6" t="s">
        <v>225</v>
      </c>
      <c r="U169" s="6" t="s">
        <v>1437</v>
      </c>
      <c r="V169" s="6"/>
    </row>
    <row r="170" customFormat="false" ht="15" hidden="false" customHeight="false" outlineLevel="0" collapsed="false">
      <c r="A170" s="6" t="s">
        <v>1438</v>
      </c>
      <c r="B170" s="6" t="s">
        <v>1294</v>
      </c>
      <c r="C170" s="6" t="s">
        <v>467</v>
      </c>
      <c r="D170" s="6" t="s">
        <v>1439</v>
      </c>
      <c r="E170" s="6" t="s">
        <v>83</v>
      </c>
      <c r="F170" s="6" t="s">
        <v>94</v>
      </c>
      <c r="G170" s="6" t="s">
        <v>1440</v>
      </c>
      <c r="H170" s="6" t="s">
        <v>1441</v>
      </c>
      <c r="I170" s="6" t="s">
        <v>83</v>
      </c>
      <c r="J170" s="6"/>
      <c r="K170" s="6" t="s">
        <v>689</v>
      </c>
      <c r="L170" s="6" t="s">
        <v>83</v>
      </c>
      <c r="M170" s="6" t="s">
        <v>94</v>
      </c>
      <c r="N170" s="6" t="s">
        <v>1442</v>
      </c>
      <c r="O170" s="6"/>
      <c r="P170" s="6" t="s">
        <v>85</v>
      </c>
      <c r="Q170" s="7" t="n">
        <f aca="false">IFERROR(INDEX(Wastage_Factors!$B$2:$B$60,MATCH(P170,Wastage_Factors!$A$2:$A$60,0)),0)</f>
        <v>0</v>
      </c>
      <c r="R170" s="6" t="s">
        <v>1305</v>
      </c>
      <c r="S170" s="6" t="s">
        <v>99</v>
      </c>
      <c r="T170" s="6" t="s">
        <v>88</v>
      </c>
      <c r="U170" s="6" t="s">
        <v>83</v>
      </c>
      <c r="V170" s="6"/>
    </row>
    <row r="171" customFormat="false" ht="15" hidden="false" customHeight="false" outlineLevel="0" collapsed="false">
      <c r="A171" s="6" t="s">
        <v>1443</v>
      </c>
      <c r="B171" s="6" t="s">
        <v>1294</v>
      </c>
      <c r="C171" s="6" t="s">
        <v>1356</v>
      </c>
      <c r="D171" s="6" t="s">
        <v>1444</v>
      </c>
      <c r="E171" s="6" t="s">
        <v>1395</v>
      </c>
      <c r="F171" s="6" t="s">
        <v>115</v>
      </c>
      <c r="G171" s="6" t="s">
        <v>1445</v>
      </c>
      <c r="H171" s="6" t="s">
        <v>1446</v>
      </c>
      <c r="I171" s="6" t="s">
        <v>1373</v>
      </c>
      <c r="J171" s="6"/>
      <c r="K171" s="6" t="s">
        <v>689</v>
      </c>
      <c r="L171" s="6" t="s">
        <v>83</v>
      </c>
      <c r="M171" s="6" t="s">
        <v>115</v>
      </c>
      <c r="N171" s="6" t="s">
        <v>1447</v>
      </c>
      <c r="O171" s="6"/>
      <c r="P171" s="6" t="s">
        <v>85</v>
      </c>
      <c r="Q171" s="7" t="n">
        <f aca="false">IFERROR(INDEX(Wastage_Factors!$B$2:$B$60,MATCH(P171,Wastage_Factors!$A$2:$A$60,0)),0)</f>
        <v>0</v>
      </c>
      <c r="R171" s="6" t="s">
        <v>1305</v>
      </c>
      <c r="S171" s="6" t="s">
        <v>99</v>
      </c>
      <c r="T171" s="6" t="s">
        <v>225</v>
      </c>
      <c r="U171" s="6" t="s">
        <v>1375</v>
      </c>
      <c r="V171" s="6"/>
    </row>
    <row r="172" customFormat="false" ht="22.35" hidden="false" customHeight="false" outlineLevel="0" collapsed="false">
      <c r="A172" s="6" t="s">
        <v>1448</v>
      </c>
      <c r="B172" s="6" t="s">
        <v>1294</v>
      </c>
      <c r="C172" s="6" t="s">
        <v>1393</v>
      </c>
      <c r="D172" s="6" t="s">
        <v>1449</v>
      </c>
      <c r="E172" s="6" t="s">
        <v>1450</v>
      </c>
      <c r="F172" s="6" t="s">
        <v>115</v>
      </c>
      <c r="G172" s="6" t="s">
        <v>1451</v>
      </c>
      <c r="H172" s="6" t="s">
        <v>1452</v>
      </c>
      <c r="I172" s="6" t="s">
        <v>1373</v>
      </c>
      <c r="J172" s="6"/>
      <c r="K172" s="6" t="s">
        <v>689</v>
      </c>
      <c r="L172" s="6" t="s">
        <v>83</v>
      </c>
      <c r="M172" s="6" t="s">
        <v>115</v>
      </c>
      <c r="N172" s="6" t="s">
        <v>1453</v>
      </c>
      <c r="O172" s="6"/>
      <c r="P172" s="6" t="s">
        <v>85</v>
      </c>
      <c r="Q172" s="7" t="n">
        <f aca="false">IFERROR(INDEX(Wastage_Factors!$B$2:$B$60,MATCH(P172,Wastage_Factors!$A$2:$A$60,0)),0)</f>
        <v>0</v>
      </c>
      <c r="R172" s="6" t="s">
        <v>938</v>
      </c>
      <c r="S172" s="6" t="s">
        <v>881</v>
      </c>
      <c r="T172" s="6" t="s">
        <v>225</v>
      </c>
      <c r="U172" s="6" t="s">
        <v>1454</v>
      </c>
      <c r="V172" s="6"/>
    </row>
    <row r="173" customFormat="false" ht="22.35" hidden="false" customHeight="false" outlineLevel="0" collapsed="false">
      <c r="A173" s="6" t="s">
        <v>1455</v>
      </c>
      <c r="B173" s="6" t="s">
        <v>1294</v>
      </c>
      <c r="C173" s="6" t="s">
        <v>1456</v>
      </c>
      <c r="D173" s="6" t="s">
        <v>1457</v>
      </c>
      <c r="E173" s="6" t="s">
        <v>1458</v>
      </c>
      <c r="F173" s="6" t="s">
        <v>115</v>
      </c>
      <c r="G173" s="6" t="s">
        <v>1459</v>
      </c>
      <c r="H173" s="6" t="s">
        <v>1460</v>
      </c>
      <c r="I173" s="6" t="s">
        <v>1461</v>
      </c>
      <c r="J173" s="6"/>
      <c r="K173" s="6" t="s">
        <v>689</v>
      </c>
      <c r="L173" s="6" t="s">
        <v>83</v>
      </c>
      <c r="M173" s="6" t="s">
        <v>115</v>
      </c>
      <c r="N173" s="6" t="s">
        <v>1462</v>
      </c>
      <c r="O173" s="6"/>
      <c r="P173" s="6" t="s">
        <v>85</v>
      </c>
      <c r="Q173" s="7" t="n">
        <f aca="false">IFERROR(INDEX(Wastage_Factors!$B$2:$B$60,MATCH(P173,Wastage_Factors!$A$2:$A$60,0)),0)</f>
        <v>0</v>
      </c>
      <c r="R173" s="6" t="s">
        <v>938</v>
      </c>
      <c r="S173" s="6" t="s">
        <v>99</v>
      </c>
      <c r="T173" s="6" t="s">
        <v>225</v>
      </c>
      <c r="U173" s="6" t="s">
        <v>1463</v>
      </c>
      <c r="V173" s="6"/>
    </row>
    <row r="174" customFormat="false" ht="22.35" hidden="false" customHeight="false" outlineLevel="0" collapsed="false">
      <c r="A174" s="6" t="s">
        <v>1464</v>
      </c>
      <c r="B174" s="6" t="s">
        <v>1294</v>
      </c>
      <c r="C174" s="6" t="s">
        <v>1384</v>
      </c>
      <c r="D174" s="6" t="s">
        <v>1465</v>
      </c>
      <c r="E174" s="6" t="s">
        <v>1466</v>
      </c>
      <c r="F174" s="6" t="s">
        <v>77</v>
      </c>
      <c r="G174" s="6" t="s">
        <v>1467</v>
      </c>
      <c r="H174" s="6" t="s">
        <v>1468</v>
      </c>
      <c r="I174" s="6" t="s">
        <v>705</v>
      </c>
      <c r="J174" s="6"/>
      <c r="K174" s="6" t="s">
        <v>689</v>
      </c>
      <c r="L174" s="6" t="s">
        <v>83</v>
      </c>
      <c r="M174" s="6" t="s">
        <v>77</v>
      </c>
      <c r="N174" s="6" t="s">
        <v>1469</v>
      </c>
      <c r="O174" s="6"/>
      <c r="P174" s="6" t="s">
        <v>1304</v>
      </c>
      <c r="Q174" s="7" t="n">
        <f aca="false">IFERROR(INDEX(Wastage_Factors!$B$2:$B$60,MATCH(P174,Wastage_Factors!$A$2:$A$60,0)),0)</f>
        <v>0.07</v>
      </c>
      <c r="R174" s="6" t="s">
        <v>202</v>
      </c>
      <c r="S174" s="6" t="s">
        <v>99</v>
      </c>
      <c r="T174" s="6" t="s">
        <v>109</v>
      </c>
      <c r="U174" s="6" t="s">
        <v>1470</v>
      </c>
      <c r="V174" s="6"/>
    </row>
    <row r="175" customFormat="false" ht="22.35" hidden="false" customHeight="false" outlineLevel="0" collapsed="false">
      <c r="A175" s="6" t="s">
        <v>1471</v>
      </c>
      <c r="B175" s="6" t="s">
        <v>1294</v>
      </c>
      <c r="C175" s="6" t="s">
        <v>1472</v>
      </c>
      <c r="D175" s="6" t="s">
        <v>1473</v>
      </c>
      <c r="E175" s="6" t="s">
        <v>1474</v>
      </c>
      <c r="F175" s="6" t="s">
        <v>115</v>
      </c>
      <c r="G175" s="6" t="s">
        <v>1475</v>
      </c>
      <c r="H175" s="6" t="s">
        <v>1476</v>
      </c>
      <c r="I175" s="6" t="s">
        <v>1186</v>
      </c>
      <c r="J175" s="6" t="s">
        <v>1477</v>
      </c>
      <c r="K175" s="6" t="s">
        <v>689</v>
      </c>
      <c r="L175" s="6" t="s">
        <v>83</v>
      </c>
      <c r="M175" s="6" t="s">
        <v>115</v>
      </c>
      <c r="N175" s="6" t="s">
        <v>1478</v>
      </c>
      <c r="O175" s="6"/>
      <c r="P175" s="6" t="s">
        <v>1346</v>
      </c>
      <c r="Q175" s="7" t="n">
        <f aca="false">IFERROR(INDEX(Wastage_Factors!$B$2:$B$60,MATCH(P175,Wastage_Factors!$A$2:$A$60,0)),0)</f>
        <v>0.05</v>
      </c>
      <c r="R175" s="6" t="s">
        <v>307</v>
      </c>
      <c r="S175" s="6" t="s">
        <v>99</v>
      </c>
      <c r="T175" s="6" t="s">
        <v>225</v>
      </c>
      <c r="U175" s="6" t="s">
        <v>1431</v>
      </c>
      <c r="V175" s="6"/>
    </row>
    <row r="176" customFormat="false" ht="22.35" hidden="false" customHeight="false" outlineLevel="0" collapsed="false">
      <c r="A176" s="6" t="s">
        <v>1479</v>
      </c>
      <c r="B176" s="6" t="s">
        <v>1480</v>
      </c>
      <c r="C176" s="6" t="s">
        <v>1481</v>
      </c>
      <c r="D176" s="6" t="s">
        <v>1482</v>
      </c>
      <c r="E176" s="6" t="s">
        <v>1483</v>
      </c>
      <c r="F176" s="6" t="s">
        <v>77</v>
      </c>
      <c r="G176" s="6" t="s">
        <v>1484</v>
      </c>
      <c r="H176" s="6" t="s">
        <v>1485</v>
      </c>
      <c r="I176" s="6" t="s">
        <v>1486</v>
      </c>
      <c r="J176" s="6" t="s">
        <v>1487</v>
      </c>
      <c r="K176" s="6" t="s">
        <v>689</v>
      </c>
      <c r="L176" s="6" t="s">
        <v>1488</v>
      </c>
      <c r="M176" s="6" t="s">
        <v>77</v>
      </c>
      <c r="N176" s="6" t="s">
        <v>149</v>
      </c>
      <c r="O176" s="6" t="s">
        <v>1489</v>
      </c>
      <c r="P176" s="6" t="s">
        <v>1490</v>
      </c>
      <c r="Q176" s="7" t="n">
        <f aca="false">IFERROR(INDEX(Wastage_Factors!$B$2:$B$60,MATCH(P176,Wastage_Factors!$A$2:$A$60,0)),0)</f>
        <v>0.05</v>
      </c>
      <c r="R176" s="6" t="s">
        <v>423</v>
      </c>
      <c r="S176" s="6" t="s">
        <v>99</v>
      </c>
      <c r="T176" s="6" t="s">
        <v>225</v>
      </c>
      <c r="U176" s="6" t="s">
        <v>1491</v>
      </c>
      <c r="V176" s="6" t="s">
        <v>1348</v>
      </c>
    </row>
    <row r="177" customFormat="false" ht="22.35" hidden="false" customHeight="false" outlineLevel="0" collapsed="false">
      <c r="A177" s="6" t="s">
        <v>1492</v>
      </c>
      <c r="B177" s="6" t="s">
        <v>1480</v>
      </c>
      <c r="C177" s="6" t="s">
        <v>1493</v>
      </c>
      <c r="D177" s="6" t="s">
        <v>1494</v>
      </c>
      <c r="E177" s="6" t="s">
        <v>1495</v>
      </c>
      <c r="F177" s="6" t="s">
        <v>77</v>
      </c>
      <c r="G177" s="6" t="s">
        <v>1496</v>
      </c>
      <c r="H177" s="6" t="s">
        <v>1497</v>
      </c>
      <c r="I177" s="6" t="s">
        <v>1498</v>
      </c>
      <c r="J177" s="6"/>
      <c r="K177" s="6" t="s">
        <v>689</v>
      </c>
      <c r="L177" s="6" t="s">
        <v>1499</v>
      </c>
      <c r="M177" s="6" t="s">
        <v>77</v>
      </c>
      <c r="N177" s="6" t="s">
        <v>149</v>
      </c>
      <c r="O177" s="6" t="s">
        <v>1500</v>
      </c>
      <c r="P177" s="6" t="s">
        <v>1490</v>
      </c>
      <c r="Q177" s="7" t="n">
        <f aca="false">IFERROR(INDEX(Wastage_Factors!$B$2:$B$60,MATCH(P177,Wastage_Factors!$A$2:$A$60,0)),0)</f>
        <v>0.05</v>
      </c>
      <c r="R177" s="6" t="s">
        <v>423</v>
      </c>
      <c r="S177" s="6" t="s">
        <v>99</v>
      </c>
      <c r="T177" s="6" t="s">
        <v>225</v>
      </c>
      <c r="U177" s="6" t="s">
        <v>1491</v>
      </c>
      <c r="V177" s="6" t="s">
        <v>1307</v>
      </c>
    </row>
    <row r="178" customFormat="false" ht="22.35" hidden="false" customHeight="false" outlineLevel="0" collapsed="false">
      <c r="A178" s="6" t="s">
        <v>1501</v>
      </c>
      <c r="B178" s="6" t="s">
        <v>1480</v>
      </c>
      <c r="C178" s="6" t="s">
        <v>1493</v>
      </c>
      <c r="D178" s="6" t="s">
        <v>1502</v>
      </c>
      <c r="E178" s="6" t="s">
        <v>1495</v>
      </c>
      <c r="F178" s="6" t="s">
        <v>77</v>
      </c>
      <c r="G178" s="6" t="s">
        <v>1503</v>
      </c>
      <c r="H178" s="6" t="s">
        <v>1504</v>
      </c>
      <c r="I178" s="6" t="s">
        <v>1505</v>
      </c>
      <c r="J178" s="6"/>
      <c r="K178" s="6" t="s">
        <v>689</v>
      </c>
      <c r="L178" s="6" t="s">
        <v>1499</v>
      </c>
      <c r="M178" s="6" t="s">
        <v>77</v>
      </c>
      <c r="N178" s="6" t="s">
        <v>149</v>
      </c>
      <c r="O178" s="6" t="s">
        <v>1506</v>
      </c>
      <c r="P178" s="6" t="s">
        <v>1490</v>
      </c>
      <c r="Q178" s="7" t="n">
        <f aca="false">IFERROR(INDEX(Wastage_Factors!$B$2:$B$60,MATCH(P178,Wastage_Factors!$A$2:$A$60,0)),0)</f>
        <v>0.05</v>
      </c>
      <c r="R178" s="6" t="s">
        <v>423</v>
      </c>
      <c r="S178" s="6" t="s">
        <v>99</v>
      </c>
      <c r="T178" s="6" t="s">
        <v>225</v>
      </c>
      <c r="U178" s="6" t="s">
        <v>1491</v>
      </c>
      <c r="V178" s="6" t="s">
        <v>1348</v>
      </c>
    </row>
    <row r="179" customFormat="false" ht="22.35" hidden="false" customHeight="false" outlineLevel="0" collapsed="false">
      <c r="A179" s="6" t="s">
        <v>1507</v>
      </c>
      <c r="B179" s="6" t="s">
        <v>1480</v>
      </c>
      <c r="C179" s="6" t="s">
        <v>1508</v>
      </c>
      <c r="D179" s="6" t="s">
        <v>1509</v>
      </c>
      <c r="E179" s="6" t="s">
        <v>1495</v>
      </c>
      <c r="F179" s="6" t="s">
        <v>77</v>
      </c>
      <c r="G179" s="6" t="s">
        <v>1510</v>
      </c>
      <c r="H179" s="6" t="s">
        <v>1311</v>
      </c>
      <c r="I179" s="6" t="s">
        <v>1511</v>
      </c>
      <c r="J179" s="6" t="s">
        <v>1512</v>
      </c>
      <c r="K179" s="6" t="s">
        <v>689</v>
      </c>
      <c r="L179" s="6" t="s">
        <v>1499</v>
      </c>
      <c r="M179" s="6" t="s">
        <v>77</v>
      </c>
      <c r="N179" s="6" t="s">
        <v>149</v>
      </c>
      <c r="O179" s="6" t="s">
        <v>1313</v>
      </c>
      <c r="P179" s="6" t="s">
        <v>1490</v>
      </c>
      <c r="Q179" s="7" t="n">
        <f aca="false">IFERROR(INDEX(Wastage_Factors!$B$2:$B$60,MATCH(P179,Wastage_Factors!$A$2:$A$60,0)),0)</f>
        <v>0.05</v>
      </c>
      <c r="R179" s="6" t="s">
        <v>423</v>
      </c>
      <c r="S179" s="6" t="s">
        <v>99</v>
      </c>
      <c r="T179" s="6" t="s">
        <v>225</v>
      </c>
      <c r="U179" s="6" t="s">
        <v>1513</v>
      </c>
      <c r="V179" s="6"/>
    </row>
    <row r="180" customFormat="false" ht="22.35" hidden="false" customHeight="false" outlineLevel="0" collapsed="false">
      <c r="A180" s="6" t="s">
        <v>1514</v>
      </c>
      <c r="B180" s="6" t="s">
        <v>1480</v>
      </c>
      <c r="C180" s="6" t="s">
        <v>1515</v>
      </c>
      <c r="D180" s="6" t="s">
        <v>1516</v>
      </c>
      <c r="E180" s="6" t="s">
        <v>1517</v>
      </c>
      <c r="F180" s="6" t="s">
        <v>77</v>
      </c>
      <c r="G180" s="6" t="s">
        <v>1518</v>
      </c>
      <c r="H180" s="6" t="s">
        <v>1519</v>
      </c>
      <c r="I180" s="6" t="s">
        <v>1520</v>
      </c>
      <c r="J180" s="6" t="s">
        <v>1521</v>
      </c>
      <c r="K180" s="6" t="s">
        <v>689</v>
      </c>
      <c r="L180" s="6" t="s">
        <v>83</v>
      </c>
      <c r="M180" s="6" t="s">
        <v>77</v>
      </c>
      <c r="N180" s="6" t="s">
        <v>149</v>
      </c>
      <c r="O180" s="6" t="s">
        <v>1522</v>
      </c>
      <c r="P180" s="6" t="s">
        <v>1490</v>
      </c>
      <c r="Q180" s="7" t="n">
        <f aca="false">IFERROR(INDEX(Wastage_Factors!$B$2:$B$60,MATCH(P180,Wastage_Factors!$A$2:$A$60,0)),0)</f>
        <v>0.05</v>
      </c>
      <c r="R180" s="6" t="s">
        <v>938</v>
      </c>
      <c r="S180" s="6" t="s">
        <v>99</v>
      </c>
      <c r="T180" s="6" t="s">
        <v>225</v>
      </c>
      <c r="U180" s="6" t="s">
        <v>1523</v>
      </c>
      <c r="V180" s="6" t="s">
        <v>1524</v>
      </c>
    </row>
    <row r="181" customFormat="false" ht="22.35" hidden="false" customHeight="false" outlineLevel="0" collapsed="false">
      <c r="A181" s="6" t="s">
        <v>1525</v>
      </c>
      <c r="B181" s="6" t="s">
        <v>1480</v>
      </c>
      <c r="C181" s="6" t="s">
        <v>1526</v>
      </c>
      <c r="D181" s="6" t="s">
        <v>1527</v>
      </c>
      <c r="E181" s="6" t="s">
        <v>1495</v>
      </c>
      <c r="F181" s="6" t="s">
        <v>115</v>
      </c>
      <c r="G181" s="6" t="s">
        <v>1528</v>
      </c>
      <c r="H181" s="6" t="s">
        <v>1311</v>
      </c>
      <c r="I181" s="6" t="s">
        <v>1529</v>
      </c>
      <c r="J181" s="6"/>
      <c r="K181" s="6" t="s">
        <v>689</v>
      </c>
      <c r="L181" s="6" t="s">
        <v>1530</v>
      </c>
      <c r="M181" s="6" t="s">
        <v>115</v>
      </c>
      <c r="N181" s="6" t="s">
        <v>149</v>
      </c>
      <c r="O181" s="6" t="s">
        <v>1313</v>
      </c>
      <c r="P181" s="6" t="s">
        <v>1346</v>
      </c>
      <c r="Q181" s="7" t="n">
        <f aca="false">IFERROR(INDEX(Wastage_Factors!$B$2:$B$60,MATCH(P181,Wastage_Factors!$A$2:$A$60,0)),0)</f>
        <v>0.05</v>
      </c>
      <c r="R181" s="6" t="s">
        <v>423</v>
      </c>
      <c r="S181" s="6" t="s">
        <v>99</v>
      </c>
      <c r="T181" s="6" t="s">
        <v>225</v>
      </c>
      <c r="U181" s="6" t="s">
        <v>1491</v>
      </c>
      <c r="V181" s="6"/>
    </row>
    <row r="182" customFormat="false" ht="22.35" hidden="false" customHeight="false" outlineLevel="0" collapsed="false">
      <c r="A182" s="6" t="s">
        <v>1531</v>
      </c>
      <c r="B182" s="6" t="s">
        <v>1480</v>
      </c>
      <c r="C182" s="6" t="s">
        <v>1532</v>
      </c>
      <c r="D182" s="6" t="s">
        <v>1533</v>
      </c>
      <c r="E182" s="6" t="s">
        <v>1534</v>
      </c>
      <c r="F182" s="6" t="s">
        <v>176</v>
      </c>
      <c r="G182" s="6" t="s">
        <v>1535</v>
      </c>
      <c r="H182" s="6" t="s">
        <v>1311</v>
      </c>
      <c r="I182" s="6" t="s">
        <v>1529</v>
      </c>
      <c r="J182" s="6"/>
      <c r="K182" s="6" t="s">
        <v>689</v>
      </c>
      <c r="L182" s="6" t="s">
        <v>83</v>
      </c>
      <c r="M182" s="6" t="s">
        <v>176</v>
      </c>
      <c r="N182" s="6" t="s">
        <v>149</v>
      </c>
      <c r="O182" s="6" t="s">
        <v>1313</v>
      </c>
      <c r="P182" s="6" t="s">
        <v>184</v>
      </c>
      <c r="Q182" s="7" t="n">
        <f aca="false">IFERROR(INDEX(Wastage_Factors!$B$2:$B$60,MATCH(P182,Wastage_Factors!$A$2:$A$60,0)),0)</f>
        <v>0.05</v>
      </c>
      <c r="R182" s="6" t="s">
        <v>423</v>
      </c>
      <c r="S182" s="6" t="s">
        <v>99</v>
      </c>
      <c r="T182" s="6" t="s">
        <v>225</v>
      </c>
      <c r="U182" s="6" t="s">
        <v>1536</v>
      </c>
      <c r="V182" s="6"/>
    </row>
    <row r="183" customFormat="false" ht="22.35" hidden="false" customHeight="false" outlineLevel="0" collapsed="false">
      <c r="A183" s="6" t="s">
        <v>1537</v>
      </c>
      <c r="B183" s="6" t="s">
        <v>1480</v>
      </c>
      <c r="C183" s="6" t="s">
        <v>1532</v>
      </c>
      <c r="D183" s="6" t="s">
        <v>1538</v>
      </c>
      <c r="E183" s="6" t="s">
        <v>1539</v>
      </c>
      <c r="F183" s="6" t="s">
        <v>115</v>
      </c>
      <c r="G183" s="6" t="s">
        <v>1540</v>
      </c>
      <c r="H183" s="6" t="s">
        <v>1541</v>
      </c>
      <c r="I183" s="6" t="s">
        <v>1542</v>
      </c>
      <c r="J183" s="6"/>
      <c r="K183" s="6" t="s">
        <v>689</v>
      </c>
      <c r="L183" s="6" t="s">
        <v>1543</v>
      </c>
      <c r="M183" s="6" t="s">
        <v>115</v>
      </c>
      <c r="N183" s="6" t="s">
        <v>1544</v>
      </c>
      <c r="O183" s="6"/>
      <c r="P183" s="6" t="s">
        <v>1346</v>
      </c>
      <c r="Q183" s="7" t="n">
        <f aca="false">IFERROR(INDEX(Wastage_Factors!$B$2:$B$60,MATCH(P183,Wastage_Factors!$A$2:$A$60,0)),0)</f>
        <v>0.05</v>
      </c>
      <c r="R183" s="6" t="s">
        <v>202</v>
      </c>
      <c r="S183" s="6" t="s">
        <v>99</v>
      </c>
      <c r="T183" s="6" t="s">
        <v>225</v>
      </c>
      <c r="U183" s="6" t="s">
        <v>1536</v>
      </c>
      <c r="V183" s="6"/>
    </row>
    <row r="184" customFormat="false" ht="22.35" hidden="false" customHeight="false" outlineLevel="0" collapsed="false">
      <c r="A184" s="6" t="s">
        <v>1545</v>
      </c>
      <c r="B184" s="6" t="s">
        <v>1480</v>
      </c>
      <c r="C184" s="6" t="s">
        <v>1546</v>
      </c>
      <c r="D184" s="6" t="s">
        <v>1547</v>
      </c>
      <c r="E184" s="6" t="s">
        <v>1548</v>
      </c>
      <c r="F184" s="6" t="s">
        <v>115</v>
      </c>
      <c r="G184" s="6" t="s">
        <v>1549</v>
      </c>
      <c r="H184" s="6" t="s">
        <v>1550</v>
      </c>
      <c r="I184" s="6" t="s">
        <v>1551</v>
      </c>
      <c r="J184" s="6" t="s">
        <v>1552</v>
      </c>
      <c r="K184" s="6" t="s">
        <v>689</v>
      </c>
      <c r="L184" s="6" t="s">
        <v>83</v>
      </c>
      <c r="M184" s="6" t="s">
        <v>115</v>
      </c>
      <c r="N184" s="6" t="s">
        <v>149</v>
      </c>
      <c r="O184" s="6" t="s">
        <v>1553</v>
      </c>
      <c r="P184" s="6" t="s">
        <v>85</v>
      </c>
      <c r="Q184" s="7" t="n">
        <f aca="false">IFERROR(INDEX(Wastage_Factors!$B$2:$B$60,MATCH(P184,Wastage_Factors!$A$2:$A$60,0)),0)</f>
        <v>0</v>
      </c>
      <c r="R184" s="6" t="s">
        <v>307</v>
      </c>
      <c r="S184" s="6" t="s">
        <v>99</v>
      </c>
      <c r="T184" s="6" t="s">
        <v>1169</v>
      </c>
      <c r="U184" s="6" t="s">
        <v>1554</v>
      </c>
      <c r="V184" s="6" t="s">
        <v>1348</v>
      </c>
    </row>
    <row r="185" customFormat="false" ht="22.35" hidden="false" customHeight="false" outlineLevel="0" collapsed="false">
      <c r="A185" s="6" t="s">
        <v>1555</v>
      </c>
      <c r="B185" s="6" t="s">
        <v>1480</v>
      </c>
      <c r="C185" s="6" t="s">
        <v>1556</v>
      </c>
      <c r="D185" s="6" t="s">
        <v>1557</v>
      </c>
      <c r="E185" s="6" t="s">
        <v>1558</v>
      </c>
      <c r="F185" s="6" t="s">
        <v>115</v>
      </c>
      <c r="G185" s="6" t="s">
        <v>1559</v>
      </c>
      <c r="H185" s="6" t="s">
        <v>1560</v>
      </c>
      <c r="I185" s="6" t="s">
        <v>1561</v>
      </c>
      <c r="J185" s="6"/>
      <c r="K185" s="6" t="s">
        <v>689</v>
      </c>
      <c r="L185" s="6" t="s">
        <v>83</v>
      </c>
      <c r="M185" s="6" t="s">
        <v>115</v>
      </c>
      <c r="N185" s="6" t="s">
        <v>1562</v>
      </c>
      <c r="O185" s="6"/>
      <c r="P185" s="6" t="s">
        <v>85</v>
      </c>
      <c r="Q185" s="7" t="n">
        <f aca="false">IFERROR(INDEX(Wastage_Factors!$B$2:$B$60,MATCH(P185,Wastage_Factors!$A$2:$A$60,0)),0)</f>
        <v>0</v>
      </c>
      <c r="R185" s="6" t="s">
        <v>202</v>
      </c>
      <c r="S185" s="6" t="s">
        <v>99</v>
      </c>
      <c r="T185" s="6" t="s">
        <v>225</v>
      </c>
      <c r="U185" s="6" t="s">
        <v>1563</v>
      </c>
      <c r="V185" s="6"/>
    </row>
    <row r="186" customFormat="false" ht="22.35" hidden="false" customHeight="false" outlineLevel="0" collapsed="false">
      <c r="A186" s="6" t="s">
        <v>1564</v>
      </c>
      <c r="B186" s="6" t="s">
        <v>1480</v>
      </c>
      <c r="C186" s="6" t="s">
        <v>1546</v>
      </c>
      <c r="D186" s="6" t="s">
        <v>1565</v>
      </c>
      <c r="E186" s="6" t="s">
        <v>1566</v>
      </c>
      <c r="F186" s="6" t="s">
        <v>115</v>
      </c>
      <c r="G186" s="6" t="s">
        <v>1567</v>
      </c>
      <c r="H186" s="6" t="s">
        <v>1504</v>
      </c>
      <c r="I186" s="6" t="s">
        <v>1568</v>
      </c>
      <c r="J186" s="6"/>
      <c r="K186" s="6" t="s">
        <v>689</v>
      </c>
      <c r="L186" s="6" t="s">
        <v>83</v>
      </c>
      <c r="M186" s="6" t="s">
        <v>115</v>
      </c>
      <c r="N186" s="6" t="s">
        <v>149</v>
      </c>
      <c r="O186" s="6" t="s">
        <v>1506</v>
      </c>
      <c r="P186" s="6" t="s">
        <v>85</v>
      </c>
      <c r="Q186" s="7" t="n">
        <f aca="false">IFERROR(INDEX(Wastage_Factors!$B$2:$B$60,MATCH(P186,Wastage_Factors!$A$2:$A$60,0)),0)</f>
        <v>0</v>
      </c>
      <c r="R186" s="6" t="s">
        <v>1218</v>
      </c>
      <c r="S186" s="6" t="s">
        <v>99</v>
      </c>
      <c r="T186" s="6" t="s">
        <v>225</v>
      </c>
      <c r="U186" s="6" t="s">
        <v>1431</v>
      </c>
      <c r="V186" s="6" t="s">
        <v>1348</v>
      </c>
    </row>
    <row r="187" customFormat="false" ht="22.35" hidden="false" customHeight="false" outlineLevel="0" collapsed="false">
      <c r="A187" s="6" t="s">
        <v>1569</v>
      </c>
      <c r="B187" s="6" t="s">
        <v>1480</v>
      </c>
      <c r="C187" s="6" t="s">
        <v>1570</v>
      </c>
      <c r="D187" s="6" t="s">
        <v>1571</v>
      </c>
      <c r="E187" s="6" t="s">
        <v>1572</v>
      </c>
      <c r="F187" s="6" t="s">
        <v>77</v>
      </c>
      <c r="G187" s="6" t="s">
        <v>1573</v>
      </c>
      <c r="H187" s="6" t="s">
        <v>1574</v>
      </c>
      <c r="I187" s="6" t="s">
        <v>1575</v>
      </c>
      <c r="J187" s="6" t="s">
        <v>1576</v>
      </c>
      <c r="K187" s="6" t="s">
        <v>689</v>
      </c>
      <c r="L187" s="6" t="s">
        <v>1543</v>
      </c>
      <c r="M187" s="6" t="s">
        <v>77</v>
      </c>
      <c r="N187" s="6" t="s">
        <v>149</v>
      </c>
      <c r="O187" s="6" t="s">
        <v>1577</v>
      </c>
      <c r="P187" s="6" t="s">
        <v>1490</v>
      </c>
      <c r="Q187" s="7" t="n">
        <f aca="false">IFERROR(INDEX(Wastage_Factors!$B$2:$B$60,MATCH(P187,Wastage_Factors!$A$2:$A$60,0)),0)</f>
        <v>0.05</v>
      </c>
      <c r="R187" s="6" t="s">
        <v>202</v>
      </c>
      <c r="S187" s="6" t="s">
        <v>99</v>
      </c>
      <c r="T187" s="6" t="s">
        <v>225</v>
      </c>
      <c r="U187" s="6" t="s">
        <v>1578</v>
      </c>
      <c r="V187" s="6" t="s">
        <v>1524</v>
      </c>
    </row>
    <row r="188" customFormat="false" ht="22.35" hidden="false" customHeight="false" outlineLevel="0" collapsed="false">
      <c r="A188" s="6" t="s">
        <v>1579</v>
      </c>
      <c r="B188" s="6" t="s">
        <v>1480</v>
      </c>
      <c r="C188" s="6" t="s">
        <v>1580</v>
      </c>
      <c r="D188" s="6" t="s">
        <v>1581</v>
      </c>
      <c r="E188" s="6" t="s">
        <v>1582</v>
      </c>
      <c r="F188" s="6" t="s">
        <v>115</v>
      </c>
      <c r="G188" s="6" t="s">
        <v>1583</v>
      </c>
      <c r="H188" s="6" t="s">
        <v>1584</v>
      </c>
      <c r="I188" s="6" t="s">
        <v>1585</v>
      </c>
      <c r="J188" s="6" t="s">
        <v>1586</v>
      </c>
      <c r="K188" s="6" t="s">
        <v>689</v>
      </c>
      <c r="L188" s="6" t="s">
        <v>1587</v>
      </c>
      <c r="M188" s="6" t="s">
        <v>115</v>
      </c>
      <c r="N188" s="6" t="s">
        <v>1588</v>
      </c>
      <c r="O188" s="6"/>
      <c r="P188" s="6" t="s">
        <v>85</v>
      </c>
      <c r="Q188" s="7" t="n">
        <f aca="false">IFERROR(INDEX(Wastage_Factors!$B$2:$B$60,MATCH(P188,Wastage_Factors!$A$2:$A$60,0)),0)</f>
        <v>0</v>
      </c>
      <c r="R188" s="6" t="s">
        <v>202</v>
      </c>
      <c r="S188" s="6" t="s">
        <v>99</v>
      </c>
      <c r="T188" s="6" t="s">
        <v>225</v>
      </c>
      <c r="U188" s="6" t="s">
        <v>1589</v>
      </c>
      <c r="V188" s="6"/>
    </row>
    <row r="189" customFormat="false" ht="22.35" hidden="false" customHeight="false" outlineLevel="0" collapsed="false">
      <c r="A189" s="6" t="s">
        <v>1590</v>
      </c>
      <c r="B189" s="6" t="s">
        <v>1480</v>
      </c>
      <c r="C189" s="6" t="s">
        <v>1580</v>
      </c>
      <c r="D189" s="6" t="s">
        <v>1591</v>
      </c>
      <c r="E189" s="6" t="s">
        <v>1592</v>
      </c>
      <c r="F189" s="6" t="s">
        <v>115</v>
      </c>
      <c r="G189" s="6" t="s">
        <v>1593</v>
      </c>
      <c r="H189" s="6" t="s">
        <v>1594</v>
      </c>
      <c r="I189" s="6" t="s">
        <v>1595</v>
      </c>
      <c r="J189" s="6"/>
      <c r="K189" s="6" t="s">
        <v>689</v>
      </c>
      <c r="L189" s="6" t="s">
        <v>1587</v>
      </c>
      <c r="M189" s="6" t="s">
        <v>115</v>
      </c>
      <c r="N189" s="6" t="s">
        <v>149</v>
      </c>
      <c r="O189" s="6" t="s">
        <v>1596</v>
      </c>
      <c r="P189" s="6" t="s">
        <v>85</v>
      </c>
      <c r="Q189" s="7" t="n">
        <f aca="false">IFERROR(INDEX(Wastage_Factors!$B$2:$B$60,MATCH(P189,Wastage_Factors!$A$2:$A$60,0)),0)</f>
        <v>0</v>
      </c>
      <c r="R189" s="6" t="s">
        <v>202</v>
      </c>
      <c r="S189" s="6" t="s">
        <v>99</v>
      </c>
      <c r="T189" s="6" t="s">
        <v>225</v>
      </c>
      <c r="U189" s="6" t="s">
        <v>1597</v>
      </c>
      <c r="V189" s="6" t="s">
        <v>1524</v>
      </c>
    </row>
    <row r="190" customFormat="false" ht="22.35" hidden="false" customHeight="false" outlineLevel="0" collapsed="false">
      <c r="A190" s="6" t="s">
        <v>1598</v>
      </c>
      <c r="B190" s="6" t="s">
        <v>1480</v>
      </c>
      <c r="C190" s="6" t="s">
        <v>1599</v>
      </c>
      <c r="D190" s="6" t="s">
        <v>1600</v>
      </c>
      <c r="E190" s="6" t="s">
        <v>1558</v>
      </c>
      <c r="F190" s="6" t="s">
        <v>115</v>
      </c>
      <c r="G190" s="6" t="s">
        <v>1601</v>
      </c>
      <c r="H190" s="6" t="s">
        <v>1602</v>
      </c>
      <c r="I190" s="6" t="s">
        <v>1603</v>
      </c>
      <c r="J190" s="6"/>
      <c r="K190" s="6" t="s">
        <v>689</v>
      </c>
      <c r="L190" s="6" t="s">
        <v>1587</v>
      </c>
      <c r="M190" s="6" t="s">
        <v>115</v>
      </c>
      <c r="N190" s="6" t="s">
        <v>149</v>
      </c>
      <c r="O190" s="6" t="s">
        <v>1604</v>
      </c>
      <c r="P190" s="6" t="s">
        <v>85</v>
      </c>
      <c r="Q190" s="7" t="n">
        <f aca="false">IFERROR(INDEX(Wastage_Factors!$B$2:$B$60,MATCH(P190,Wastage_Factors!$A$2:$A$60,0)),0)</f>
        <v>0</v>
      </c>
      <c r="R190" s="6" t="s">
        <v>202</v>
      </c>
      <c r="S190" s="6" t="s">
        <v>99</v>
      </c>
      <c r="T190" s="6" t="s">
        <v>225</v>
      </c>
      <c r="U190" s="6" t="s">
        <v>1589</v>
      </c>
      <c r="V190" s="6" t="s">
        <v>1524</v>
      </c>
    </row>
    <row r="191" customFormat="false" ht="22.35" hidden="false" customHeight="false" outlineLevel="0" collapsed="false">
      <c r="A191" s="6" t="s">
        <v>1605</v>
      </c>
      <c r="B191" s="6" t="s">
        <v>1480</v>
      </c>
      <c r="C191" s="6" t="s">
        <v>1606</v>
      </c>
      <c r="D191" s="6" t="s">
        <v>1607</v>
      </c>
      <c r="E191" s="6" t="s">
        <v>1608</v>
      </c>
      <c r="F191" s="6" t="s">
        <v>115</v>
      </c>
      <c r="G191" s="6" t="s">
        <v>1609</v>
      </c>
      <c r="H191" s="6" t="s">
        <v>1610</v>
      </c>
      <c r="I191" s="6" t="s">
        <v>1611</v>
      </c>
      <c r="J191" s="6"/>
      <c r="K191" s="6" t="s">
        <v>689</v>
      </c>
      <c r="L191" s="6" t="s">
        <v>1612</v>
      </c>
      <c r="M191" s="6" t="s">
        <v>115</v>
      </c>
      <c r="N191" s="6" t="s">
        <v>149</v>
      </c>
      <c r="O191" s="6" t="s">
        <v>1613</v>
      </c>
      <c r="P191" s="6" t="s">
        <v>85</v>
      </c>
      <c r="Q191" s="7" t="n">
        <f aca="false">IFERROR(INDEX(Wastage_Factors!$B$2:$B$60,MATCH(P191,Wastage_Factors!$A$2:$A$60,0)),0)</f>
        <v>0</v>
      </c>
      <c r="R191" s="6" t="s">
        <v>938</v>
      </c>
      <c r="S191" s="6" t="s">
        <v>99</v>
      </c>
      <c r="T191" s="6" t="s">
        <v>225</v>
      </c>
      <c r="U191" s="6" t="s">
        <v>1523</v>
      </c>
      <c r="V191" s="6"/>
    </row>
    <row r="192" customFormat="false" ht="22.35" hidden="false" customHeight="false" outlineLevel="0" collapsed="false">
      <c r="A192" s="6" t="s">
        <v>1614</v>
      </c>
      <c r="B192" s="6" t="s">
        <v>1480</v>
      </c>
      <c r="C192" s="6" t="s">
        <v>1615</v>
      </c>
      <c r="D192" s="6" t="s">
        <v>1616</v>
      </c>
      <c r="E192" s="6" t="s">
        <v>1617</v>
      </c>
      <c r="F192" s="6" t="s">
        <v>115</v>
      </c>
      <c r="G192" s="6" t="s">
        <v>1618</v>
      </c>
      <c r="H192" s="6" t="s">
        <v>1619</v>
      </c>
      <c r="I192" s="6" t="s">
        <v>1620</v>
      </c>
      <c r="J192" s="6"/>
      <c r="K192" s="6" t="s">
        <v>689</v>
      </c>
      <c r="L192" s="6" t="s">
        <v>1587</v>
      </c>
      <c r="M192" s="6" t="s">
        <v>115</v>
      </c>
      <c r="N192" s="6" t="s">
        <v>1621</v>
      </c>
      <c r="O192" s="6"/>
      <c r="P192" s="6" t="s">
        <v>85</v>
      </c>
      <c r="Q192" s="7" t="n">
        <f aca="false">IFERROR(INDEX(Wastage_Factors!$B$2:$B$60,MATCH(P192,Wastage_Factors!$A$2:$A$60,0)),0)</f>
        <v>0</v>
      </c>
      <c r="R192" s="6" t="s">
        <v>202</v>
      </c>
      <c r="S192" s="6" t="s">
        <v>193</v>
      </c>
      <c r="T192" s="6" t="s">
        <v>225</v>
      </c>
      <c r="U192" s="6" t="s">
        <v>1622</v>
      </c>
      <c r="V192" s="6"/>
    </row>
    <row r="193" customFormat="false" ht="22.35" hidden="false" customHeight="false" outlineLevel="0" collapsed="false">
      <c r="A193" s="6" t="s">
        <v>1623</v>
      </c>
      <c r="B193" s="6" t="s">
        <v>1480</v>
      </c>
      <c r="C193" s="6" t="s">
        <v>1624</v>
      </c>
      <c r="D193" s="6" t="s">
        <v>1625</v>
      </c>
      <c r="E193" s="6" t="s">
        <v>1626</v>
      </c>
      <c r="F193" s="6" t="s">
        <v>238</v>
      </c>
      <c r="G193" s="6" t="s">
        <v>1627</v>
      </c>
      <c r="H193" s="6" t="s">
        <v>1628</v>
      </c>
      <c r="I193" s="6" t="s">
        <v>1629</v>
      </c>
      <c r="J193" s="6"/>
      <c r="K193" s="6" t="s">
        <v>689</v>
      </c>
      <c r="L193" s="6" t="s">
        <v>83</v>
      </c>
      <c r="M193" s="6" t="s">
        <v>238</v>
      </c>
      <c r="N193" s="6" t="s">
        <v>1630</v>
      </c>
      <c r="O193" s="6"/>
      <c r="P193" s="6" t="s">
        <v>184</v>
      </c>
      <c r="Q193" s="7" t="n">
        <f aca="false">IFERROR(INDEX(Wastage_Factors!$B$2:$B$60,MATCH(P193,Wastage_Factors!$A$2:$A$60,0)),0)</f>
        <v>0.05</v>
      </c>
      <c r="R193" s="6" t="s">
        <v>202</v>
      </c>
      <c r="S193" s="6" t="s">
        <v>99</v>
      </c>
      <c r="T193" s="6" t="s">
        <v>225</v>
      </c>
      <c r="U193" s="6" t="s">
        <v>1589</v>
      </c>
      <c r="V193" s="6"/>
    </row>
    <row r="194" customFormat="false" ht="22.35" hidden="false" customHeight="false" outlineLevel="0" collapsed="false">
      <c r="A194" s="6" t="s">
        <v>1631</v>
      </c>
      <c r="B194" s="6" t="s">
        <v>1480</v>
      </c>
      <c r="C194" s="6" t="s">
        <v>1632</v>
      </c>
      <c r="D194" s="6" t="s">
        <v>1633</v>
      </c>
      <c r="E194" s="6" t="s">
        <v>1634</v>
      </c>
      <c r="F194" s="6" t="s">
        <v>77</v>
      </c>
      <c r="G194" s="6" t="s">
        <v>1635</v>
      </c>
      <c r="H194" s="6" t="s">
        <v>1636</v>
      </c>
      <c r="I194" s="6" t="s">
        <v>705</v>
      </c>
      <c r="J194" s="6"/>
      <c r="K194" s="6" t="s">
        <v>689</v>
      </c>
      <c r="L194" s="6" t="s">
        <v>1612</v>
      </c>
      <c r="M194" s="6" t="s">
        <v>77</v>
      </c>
      <c r="N194" s="6" t="s">
        <v>1637</v>
      </c>
      <c r="O194" s="6"/>
      <c r="P194" s="6" t="s">
        <v>85</v>
      </c>
      <c r="Q194" s="7" t="n">
        <f aca="false">IFERROR(INDEX(Wastage_Factors!$B$2:$B$60,MATCH(P194,Wastage_Factors!$A$2:$A$60,0)),0)</f>
        <v>0</v>
      </c>
      <c r="R194" s="6" t="s">
        <v>202</v>
      </c>
      <c r="S194" s="6" t="s">
        <v>87</v>
      </c>
      <c r="T194" s="6" t="s">
        <v>1169</v>
      </c>
      <c r="U194" s="6" t="s">
        <v>1638</v>
      </c>
      <c r="V194" s="6"/>
    </row>
    <row r="195" customFormat="false" ht="22.35" hidden="false" customHeight="false" outlineLevel="0" collapsed="false">
      <c r="A195" s="6" t="s">
        <v>1639</v>
      </c>
      <c r="B195" s="6" t="s">
        <v>1480</v>
      </c>
      <c r="C195" s="6" t="s">
        <v>1640</v>
      </c>
      <c r="D195" s="6" t="s">
        <v>1641</v>
      </c>
      <c r="E195" s="6" t="s">
        <v>1642</v>
      </c>
      <c r="F195" s="6" t="s">
        <v>143</v>
      </c>
      <c r="G195" s="6" t="s">
        <v>1643</v>
      </c>
      <c r="H195" s="6" t="s">
        <v>1574</v>
      </c>
      <c r="I195" s="6" t="s">
        <v>1542</v>
      </c>
      <c r="J195" s="6"/>
      <c r="K195" s="6" t="s">
        <v>689</v>
      </c>
      <c r="L195" s="6" t="s">
        <v>1587</v>
      </c>
      <c r="M195" s="6" t="s">
        <v>77</v>
      </c>
      <c r="N195" s="6" t="s">
        <v>149</v>
      </c>
      <c r="O195" s="6" t="s">
        <v>1577</v>
      </c>
      <c r="P195" s="6" t="s">
        <v>171</v>
      </c>
      <c r="Q195" s="7" t="n">
        <f aca="false">IFERROR(INDEX(Wastage_Factors!$B$2:$B$60,MATCH(P195,Wastage_Factors!$A$2:$A$60,0)),0)</f>
        <v>0.1</v>
      </c>
      <c r="R195" s="6" t="s">
        <v>202</v>
      </c>
      <c r="S195" s="6" t="s">
        <v>99</v>
      </c>
      <c r="T195" s="6" t="s">
        <v>225</v>
      </c>
      <c r="U195" s="6" t="s">
        <v>1644</v>
      </c>
      <c r="V195" s="6" t="s">
        <v>1524</v>
      </c>
    </row>
    <row r="196" customFormat="false" ht="22.35" hidden="false" customHeight="false" outlineLevel="0" collapsed="false">
      <c r="A196" s="6" t="s">
        <v>1645</v>
      </c>
      <c r="B196" s="6" t="s">
        <v>1480</v>
      </c>
      <c r="C196" s="6" t="s">
        <v>1433</v>
      </c>
      <c r="D196" s="6" t="s">
        <v>1646</v>
      </c>
      <c r="E196" s="6" t="s">
        <v>1539</v>
      </c>
      <c r="F196" s="6" t="s">
        <v>115</v>
      </c>
      <c r="G196" s="6" t="s">
        <v>1647</v>
      </c>
      <c r="H196" s="6" t="s">
        <v>1519</v>
      </c>
      <c r="I196" s="6" t="s">
        <v>1648</v>
      </c>
      <c r="J196" s="6"/>
      <c r="K196" s="6" t="s">
        <v>689</v>
      </c>
      <c r="L196" s="6" t="s">
        <v>83</v>
      </c>
      <c r="M196" s="6" t="s">
        <v>115</v>
      </c>
      <c r="N196" s="6" t="s">
        <v>149</v>
      </c>
      <c r="O196" s="6" t="s">
        <v>1522</v>
      </c>
      <c r="P196" s="6" t="s">
        <v>85</v>
      </c>
      <c r="Q196" s="7" t="n">
        <f aca="false">IFERROR(INDEX(Wastage_Factors!$B$2:$B$60,MATCH(P196,Wastage_Factors!$A$2:$A$60,0)),0)</f>
        <v>0</v>
      </c>
      <c r="R196" s="6" t="s">
        <v>938</v>
      </c>
      <c r="S196" s="6" t="s">
        <v>99</v>
      </c>
      <c r="T196" s="6" t="s">
        <v>225</v>
      </c>
      <c r="U196" s="6" t="s">
        <v>1649</v>
      </c>
      <c r="V196" s="6" t="s">
        <v>1524</v>
      </c>
    </row>
    <row r="197" customFormat="false" ht="22.35" hidden="false" customHeight="false" outlineLevel="0" collapsed="false">
      <c r="A197" s="6" t="s">
        <v>1650</v>
      </c>
      <c r="B197" s="6" t="s">
        <v>1480</v>
      </c>
      <c r="C197" s="6" t="s">
        <v>1546</v>
      </c>
      <c r="D197" s="6" t="s">
        <v>1651</v>
      </c>
      <c r="E197" s="6" t="s">
        <v>1652</v>
      </c>
      <c r="F197" s="6" t="s">
        <v>115</v>
      </c>
      <c r="G197" s="6" t="s">
        <v>1653</v>
      </c>
      <c r="H197" s="6" t="s">
        <v>1259</v>
      </c>
      <c r="I197" s="6" t="s">
        <v>1654</v>
      </c>
      <c r="J197" s="6"/>
      <c r="K197" s="6" t="s">
        <v>689</v>
      </c>
      <c r="L197" s="6" t="s">
        <v>83</v>
      </c>
      <c r="M197" s="6" t="s">
        <v>115</v>
      </c>
      <c r="N197" s="6" t="s">
        <v>149</v>
      </c>
      <c r="O197" s="6" t="s">
        <v>1260</v>
      </c>
      <c r="P197" s="6" t="s">
        <v>85</v>
      </c>
      <c r="Q197" s="7" t="n">
        <f aca="false">IFERROR(INDEX(Wastage_Factors!$B$2:$B$60,MATCH(P197,Wastage_Factors!$A$2:$A$60,0)),0)</f>
        <v>0</v>
      </c>
      <c r="R197" s="6" t="s">
        <v>1218</v>
      </c>
      <c r="S197" s="6" t="s">
        <v>99</v>
      </c>
      <c r="T197" s="6" t="s">
        <v>109</v>
      </c>
      <c r="U197" s="6" t="s">
        <v>1261</v>
      </c>
      <c r="V197" s="6" t="s">
        <v>1235</v>
      </c>
    </row>
    <row r="198" customFormat="false" ht="22.35" hidden="false" customHeight="false" outlineLevel="0" collapsed="false">
      <c r="A198" s="6" t="s">
        <v>1655</v>
      </c>
      <c r="B198" s="6" t="s">
        <v>1480</v>
      </c>
      <c r="C198" s="6" t="s">
        <v>1656</v>
      </c>
      <c r="D198" s="6" t="s">
        <v>1657</v>
      </c>
      <c r="E198" s="6" t="s">
        <v>1658</v>
      </c>
      <c r="F198" s="6" t="s">
        <v>115</v>
      </c>
      <c r="G198" s="6" t="s">
        <v>1659</v>
      </c>
      <c r="H198" s="6" t="s">
        <v>1660</v>
      </c>
      <c r="I198" s="6" t="s">
        <v>1661</v>
      </c>
      <c r="J198" s="6" t="s">
        <v>1662</v>
      </c>
      <c r="K198" s="6" t="s">
        <v>689</v>
      </c>
      <c r="L198" s="6" t="s">
        <v>1663</v>
      </c>
      <c r="M198" s="6" t="s">
        <v>115</v>
      </c>
      <c r="N198" s="6" t="s">
        <v>1664</v>
      </c>
      <c r="O198" s="6"/>
      <c r="P198" s="6" t="s">
        <v>85</v>
      </c>
      <c r="Q198" s="7" t="n">
        <f aca="false">IFERROR(INDEX(Wastage_Factors!$B$2:$B$60,MATCH(P198,Wastage_Factors!$A$2:$A$60,0)),0)</f>
        <v>0</v>
      </c>
      <c r="R198" s="6" t="s">
        <v>132</v>
      </c>
      <c r="S198" s="6" t="s">
        <v>193</v>
      </c>
      <c r="T198" s="6" t="s">
        <v>1169</v>
      </c>
      <c r="U198" s="6" t="s">
        <v>691</v>
      </c>
      <c r="V198" s="6"/>
    </row>
    <row r="199" customFormat="false" ht="22.35" hidden="false" customHeight="false" outlineLevel="0" collapsed="false">
      <c r="A199" s="6" t="s">
        <v>1665</v>
      </c>
      <c r="B199" s="6" t="s">
        <v>1666</v>
      </c>
      <c r="C199" s="6" t="s">
        <v>1667</v>
      </c>
      <c r="D199" s="6" t="s">
        <v>1668</v>
      </c>
      <c r="E199" s="6" t="s">
        <v>1669</v>
      </c>
      <c r="F199" s="6" t="s">
        <v>115</v>
      </c>
      <c r="G199" s="6" t="s">
        <v>1670</v>
      </c>
      <c r="H199" s="6" t="s">
        <v>1485</v>
      </c>
      <c r="I199" s="6" t="s">
        <v>1671</v>
      </c>
      <c r="J199" s="6" t="s">
        <v>1672</v>
      </c>
      <c r="K199" s="6" t="s">
        <v>689</v>
      </c>
      <c r="L199" s="6" t="s">
        <v>83</v>
      </c>
      <c r="M199" s="6" t="s">
        <v>115</v>
      </c>
      <c r="N199" s="6" t="s">
        <v>149</v>
      </c>
      <c r="O199" s="6" t="s">
        <v>1489</v>
      </c>
      <c r="P199" s="6" t="s">
        <v>85</v>
      </c>
      <c r="Q199" s="7" t="n">
        <f aca="false">IFERROR(INDEX(Wastage_Factors!$B$2:$B$60,MATCH(P199,Wastage_Factors!$A$2:$A$60,0)),0)</f>
        <v>0</v>
      </c>
      <c r="R199" s="6" t="s">
        <v>1218</v>
      </c>
      <c r="S199" s="6" t="s">
        <v>99</v>
      </c>
      <c r="T199" s="6" t="s">
        <v>1169</v>
      </c>
      <c r="U199" s="6" t="s">
        <v>1673</v>
      </c>
      <c r="V199" s="6" t="s">
        <v>1348</v>
      </c>
    </row>
    <row r="200" customFormat="false" ht="22.35" hidden="false" customHeight="false" outlineLevel="0" collapsed="false">
      <c r="A200" s="6" t="s">
        <v>1674</v>
      </c>
      <c r="B200" s="6" t="s">
        <v>1666</v>
      </c>
      <c r="C200" s="6" t="s">
        <v>1667</v>
      </c>
      <c r="D200" s="6" t="s">
        <v>1675</v>
      </c>
      <c r="E200" s="6" t="s">
        <v>1676</v>
      </c>
      <c r="F200" s="6" t="s">
        <v>115</v>
      </c>
      <c r="G200" s="6" t="s">
        <v>1677</v>
      </c>
      <c r="H200" s="6" t="s">
        <v>1485</v>
      </c>
      <c r="I200" s="6" t="s">
        <v>1671</v>
      </c>
      <c r="J200" s="6" t="s">
        <v>1678</v>
      </c>
      <c r="K200" s="6" t="s">
        <v>689</v>
      </c>
      <c r="L200" s="6" t="s">
        <v>83</v>
      </c>
      <c r="M200" s="6" t="s">
        <v>115</v>
      </c>
      <c r="N200" s="6" t="s">
        <v>149</v>
      </c>
      <c r="O200" s="6" t="s">
        <v>1489</v>
      </c>
      <c r="P200" s="6" t="s">
        <v>85</v>
      </c>
      <c r="Q200" s="7" t="n">
        <f aca="false">IFERROR(INDEX(Wastage_Factors!$B$2:$B$60,MATCH(P200,Wastage_Factors!$A$2:$A$60,0)),0)</f>
        <v>0</v>
      </c>
      <c r="R200" s="6" t="s">
        <v>307</v>
      </c>
      <c r="S200" s="6" t="s">
        <v>99</v>
      </c>
      <c r="T200" s="6" t="s">
        <v>1169</v>
      </c>
      <c r="U200" s="6" t="s">
        <v>1679</v>
      </c>
      <c r="V200" s="6" t="s">
        <v>1348</v>
      </c>
    </row>
    <row r="201" customFormat="false" ht="22.35" hidden="false" customHeight="false" outlineLevel="0" collapsed="false">
      <c r="A201" s="6" t="s">
        <v>1680</v>
      </c>
      <c r="B201" s="6" t="s">
        <v>1666</v>
      </c>
      <c r="C201" s="6" t="s">
        <v>1667</v>
      </c>
      <c r="D201" s="6" t="s">
        <v>1681</v>
      </c>
      <c r="E201" s="6" t="s">
        <v>1682</v>
      </c>
      <c r="F201" s="6" t="s">
        <v>115</v>
      </c>
      <c r="G201" s="6" t="s">
        <v>1683</v>
      </c>
      <c r="H201" s="6" t="s">
        <v>1684</v>
      </c>
      <c r="I201" s="6" t="s">
        <v>1685</v>
      </c>
      <c r="J201" s="6"/>
      <c r="K201" s="6" t="s">
        <v>689</v>
      </c>
      <c r="L201" s="6" t="s">
        <v>83</v>
      </c>
      <c r="M201" s="6" t="s">
        <v>115</v>
      </c>
      <c r="N201" s="6" t="s">
        <v>1686</v>
      </c>
      <c r="O201" s="6"/>
      <c r="P201" s="6" t="s">
        <v>85</v>
      </c>
      <c r="Q201" s="7" t="n">
        <f aca="false">IFERROR(INDEX(Wastage_Factors!$B$2:$B$60,MATCH(P201,Wastage_Factors!$A$2:$A$60,0)),0)</f>
        <v>0</v>
      </c>
      <c r="R201" s="6" t="s">
        <v>1218</v>
      </c>
      <c r="S201" s="6" t="s">
        <v>535</v>
      </c>
      <c r="T201" s="6" t="s">
        <v>88</v>
      </c>
      <c r="U201" s="6" t="s">
        <v>83</v>
      </c>
      <c r="V201" s="6"/>
    </row>
    <row r="202" customFormat="false" ht="22.35" hidden="false" customHeight="false" outlineLevel="0" collapsed="false">
      <c r="A202" s="6" t="s">
        <v>1687</v>
      </c>
      <c r="B202" s="6" t="s">
        <v>1666</v>
      </c>
      <c r="C202" s="6" t="s">
        <v>1688</v>
      </c>
      <c r="D202" s="6" t="s">
        <v>1689</v>
      </c>
      <c r="E202" s="6" t="s">
        <v>1690</v>
      </c>
      <c r="F202" s="6" t="s">
        <v>115</v>
      </c>
      <c r="G202" s="6" t="s">
        <v>1691</v>
      </c>
      <c r="H202" s="6" t="s">
        <v>1504</v>
      </c>
      <c r="I202" s="6" t="s">
        <v>1568</v>
      </c>
      <c r="J202" s="6"/>
      <c r="K202" s="6" t="s">
        <v>689</v>
      </c>
      <c r="L202" s="6" t="s">
        <v>83</v>
      </c>
      <c r="M202" s="6" t="s">
        <v>115</v>
      </c>
      <c r="N202" s="6" t="s">
        <v>149</v>
      </c>
      <c r="O202" s="6" t="s">
        <v>1506</v>
      </c>
      <c r="P202" s="6" t="s">
        <v>85</v>
      </c>
      <c r="Q202" s="7" t="n">
        <f aca="false">IFERROR(INDEX(Wastage_Factors!$B$2:$B$60,MATCH(P202,Wastage_Factors!$A$2:$A$60,0)),0)</f>
        <v>0</v>
      </c>
      <c r="R202" s="6" t="s">
        <v>1218</v>
      </c>
      <c r="S202" s="6" t="s">
        <v>99</v>
      </c>
      <c r="T202" s="6" t="s">
        <v>1169</v>
      </c>
      <c r="U202" s="6" t="s">
        <v>1692</v>
      </c>
      <c r="V202" s="6" t="s">
        <v>1348</v>
      </c>
    </row>
    <row r="203" customFormat="false" ht="22.35" hidden="false" customHeight="false" outlineLevel="0" collapsed="false">
      <c r="A203" s="6" t="s">
        <v>1693</v>
      </c>
      <c r="B203" s="6" t="s">
        <v>1666</v>
      </c>
      <c r="C203" s="6" t="s">
        <v>1694</v>
      </c>
      <c r="D203" s="6" t="s">
        <v>1695</v>
      </c>
      <c r="E203" s="6" t="s">
        <v>1264</v>
      </c>
      <c r="F203" s="6" t="s">
        <v>115</v>
      </c>
      <c r="G203" s="6" t="s">
        <v>1696</v>
      </c>
      <c r="H203" s="6" t="s">
        <v>1504</v>
      </c>
      <c r="I203" s="6" t="s">
        <v>1568</v>
      </c>
      <c r="J203" s="6"/>
      <c r="K203" s="6" t="s">
        <v>689</v>
      </c>
      <c r="L203" s="6" t="s">
        <v>83</v>
      </c>
      <c r="M203" s="6" t="s">
        <v>115</v>
      </c>
      <c r="N203" s="6" t="s">
        <v>149</v>
      </c>
      <c r="O203" s="6" t="s">
        <v>1506</v>
      </c>
      <c r="P203" s="6" t="s">
        <v>85</v>
      </c>
      <c r="Q203" s="7" t="n">
        <f aca="false">IFERROR(INDEX(Wastage_Factors!$B$2:$B$60,MATCH(P203,Wastage_Factors!$A$2:$A$60,0)),0)</f>
        <v>0</v>
      </c>
      <c r="R203" s="6" t="s">
        <v>1218</v>
      </c>
      <c r="S203" s="6" t="s">
        <v>99</v>
      </c>
      <c r="T203" s="6" t="s">
        <v>109</v>
      </c>
      <c r="U203" s="6" t="s">
        <v>83</v>
      </c>
      <c r="V203" s="6" t="s">
        <v>1348</v>
      </c>
    </row>
    <row r="204" customFormat="false" ht="32.8" hidden="false" customHeight="false" outlineLevel="0" collapsed="false">
      <c r="A204" s="6" t="s">
        <v>1697</v>
      </c>
      <c r="B204" s="6" t="s">
        <v>1666</v>
      </c>
      <c r="C204" s="6" t="s">
        <v>1694</v>
      </c>
      <c r="D204" s="6" t="s">
        <v>1698</v>
      </c>
      <c r="E204" s="6" t="s">
        <v>1699</v>
      </c>
      <c r="F204" s="6" t="s">
        <v>932</v>
      </c>
      <c r="G204" s="6" t="s">
        <v>1700</v>
      </c>
      <c r="H204" s="6" t="s">
        <v>1701</v>
      </c>
      <c r="I204" s="6" t="s">
        <v>1702</v>
      </c>
      <c r="J204" s="6" t="s">
        <v>1703</v>
      </c>
      <c r="K204" s="6" t="s">
        <v>689</v>
      </c>
      <c r="L204" s="6" t="s">
        <v>83</v>
      </c>
      <c r="M204" s="6" t="s">
        <v>932</v>
      </c>
      <c r="N204" s="6" t="s">
        <v>149</v>
      </c>
      <c r="O204" s="6" t="s">
        <v>1704</v>
      </c>
      <c r="P204" s="6" t="s">
        <v>85</v>
      </c>
      <c r="Q204" s="7" t="n">
        <f aca="false">IFERROR(INDEX(Wastage_Factors!$B$2:$B$60,MATCH(P204,Wastage_Factors!$A$2:$A$60,0)),0)</f>
        <v>0</v>
      </c>
      <c r="R204" s="6" t="s">
        <v>1705</v>
      </c>
      <c r="S204" s="6" t="s">
        <v>99</v>
      </c>
      <c r="T204" s="6" t="s">
        <v>1169</v>
      </c>
      <c r="U204" s="6" t="s">
        <v>1706</v>
      </c>
      <c r="V204" s="6" t="s">
        <v>1348</v>
      </c>
    </row>
    <row r="205" customFormat="false" ht="22.35" hidden="false" customHeight="false" outlineLevel="0" collapsed="false">
      <c r="A205" s="6" t="s">
        <v>1707</v>
      </c>
      <c r="B205" s="6" t="s">
        <v>1666</v>
      </c>
      <c r="C205" s="6" t="s">
        <v>1694</v>
      </c>
      <c r="D205" s="6" t="s">
        <v>1708</v>
      </c>
      <c r="E205" s="6" t="s">
        <v>1709</v>
      </c>
      <c r="F205" s="6" t="s">
        <v>115</v>
      </c>
      <c r="G205" s="6" t="s">
        <v>1710</v>
      </c>
      <c r="H205" s="6" t="s">
        <v>1711</v>
      </c>
      <c r="I205" s="6" t="s">
        <v>1671</v>
      </c>
      <c r="J205" s="6" t="s">
        <v>1712</v>
      </c>
      <c r="K205" s="6" t="s">
        <v>689</v>
      </c>
      <c r="L205" s="6" t="s">
        <v>83</v>
      </c>
      <c r="M205" s="6" t="s">
        <v>115</v>
      </c>
      <c r="N205" s="6" t="s">
        <v>149</v>
      </c>
      <c r="O205" s="6" t="s">
        <v>1713</v>
      </c>
      <c r="P205" s="6" t="s">
        <v>85</v>
      </c>
      <c r="Q205" s="7" t="n">
        <f aca="false">IFERROR(INDEX(Wastage_Factors!$B$2:$B$60,MATCH(P205,Wastage_Factors!$A$2:$A$60,0)),0)</f>
        <v>0</v>
      </c>
      <c r="R205" s="6" t="s">
        <v>1218</v>
      </c>
      <c r="S205" s="6" t="s">
        <v>99</v>
      </c>
      <c r="T205" s="6" t="s">
        <v>109</v>
      </c>
      <c r="U205" s="6" t="s">
        <v>109</v>
      </c>
      <c r="V205" s="6" t="s">
        <v>1348</v>
      </c>
    </row>
    <row r="206" customFormat="false" ht="22.35" hidden="false" customHeight="false" outlineLevel="0" collapsed="false">
      <c r="A206" s="6" t="s">
        <v>1714</v>
      </c>
      <c r="B206" s="6" t="s">
        <v>1666</v>
      </c>
      <c r="C206" s="6" t="s">
        <v>1694</v>
      </c>
      <c r="D206" s="6" t="s">
        <v>1715</v>
      </c>
      <c r="E206" s="6" t="s">
        <v>1264</v>
      </c>
      <c r="F206" s="6" t="s">
        <v>115</v>
      </c>
      <c r="G206" s="6" t="s">
        <v>1716</v>
      </c>
      <c r="H206" s="6" t="s">
        <v>1485</v>
      </c>
      <c r="I206" s="6" t="s">
        <v>1717</v>
      </c>
      <c r="J206" s="6"/>
      <c r="K206" s="6" t="s">
        <v>689</v>
      </c>
      <c r="L206" s="6" t="s">
        <v>83</v>
      </c>
      <c r="M206" s="6" t="s">
        <v>115</v>
      </c>
      <c r="N206" s="6" t="s">
        <v>149</v>
      </c>
      <c r="O206" s="6" t="s">
        <v>1489</v>
      </c>
      <c r="P206" s="6" t="s">
        <v>85</v>
      </c>
      <c r="Q206" s="7" t="n">
        <f aca="false">IFERROR(INDEX(Wastage_Factors!$B$2:$B$60,MATCH(P206,Wastage_Factors!$A$2:$A$60,0)),0)</f>
        <v>0</v>
      </c>
      <c r="R206" s="6" t="s">
        <v>1218</v>
      </c>
      <c r="S206" s="6" t="s">
        <v>99</v>
      </c>
      <c r="T206" s="6" t="s">
        <v>225</v>
      </c>
      <c r="U206" s="6" t="s">
        <v>1718</v>
      </c>
      <c r="V206" s="6" t="s">
        <v>1348</v>
      </c>
    </row>
    <row r="207" customFormat="false" ht="22.35" hidden="false" customHeight="false" outlineLevel="0" collapsed="false">
      <c r="A207" s="6" t="s">
        <v>1719</v>
      </c>
      <c r="B207" s="6" t="s">
        <v>1666</v>
      </c>
      <c r="C207" s="6" t="s">
        <v>1694</v>
      </c>
      <c r="D207" s="6" t="s">
        <v>1720</v>
      </c>
      <c r="E207" s="6" t="s">
        <v>1721</v>
      </c>
      <c r="F207" s="6" t="s">
        <v>115</v>
      </c>
      <c r="G207" s="6" t="s">
        <v>1722</v>
      </c>
      <c r="H207" s="6" t="s">
        <v>1723</v>
      </c>
      <c r="I207" s="6" t="s">
        <v>1724</v>
      </c>
      <c r="J207" s="6"/>
      <c r="K207" s="6" t="s">
        <v>689</v>
      </c>
      <c r="L207" s="6" t="s">
        <v>83</v>
      </c>
      <c r="M207" s="6" t="s">
        <v>115</v>
      </c>
      <c r="N207" s="6" t="s">
        <v>1725</v>
      </c>
      <c r="O207" s="6"/>
      <c r="P207" s="6" t="s">
        <v>85</v>
      </c>
      <c r="Q207" s="7" t="n">
        <f aca="false">IFERROR(INDEX(Wastage_Factors!$B$2:$B$60,MATCH(P207,Wastage_Factors!$A$2:$A$60,0)),0)</f>
        <v>0</v>
      </c>
      <c r="R207" s="6" t="s">
        <v>1218</v>
      </c>
      <c r="S207" s="6" t="s">
        <v>99</v>
      </c>
      <c r="T207" s="6" t="s">
        <v>109</v>
      </c>
      <c r="U207" s="6" t="s">
        <v>83</v>
      </c>
      <c r="V207" s="6"/>
    </row>
    <row r="208" customFormat="false" ht="22.35" hidden="false" customHeight="false" outlineLevel="0" collapsed="false">
      <c r="A208" s="6" t="s">
        <v>1726</v>
      </c>
      <c r="B208" s="6" t="s">
        <v>1666</v>
      </c>
      <c r="C208" s="6" t="s">
        <v>334</v>
      </c>
      <c r="D208" s="6" t="s">
        <v>1727</v>
      </c>
      <c r="E208" s="6" t="s">
        <v>1728</v>
      </c>
      <c r="F208" s="6" t="s">
        <v>932</v>
      </c>
      <c r="G208" s="6" t="s">
        <v>1729</v>
      </c>
      <c r="H208" s="6" t="s">
        <v>1311</v>
      </c>
      <c r="I208" s="6" t="s">
        <v>1529</v>
      </c>
      <c r="J208" s="6"/>
      <c r="K208" s="6" t="s">
        <v>689</v>
      </c>
      <c r="L208" s="6" t="s">
        <v>83</v>
      </c>
      <c r="M208" s="6" t="s">
        <v>932</v>
      </c>
      <c r="N208" s="6" t="s">
        <v>149</v>
      </c>
      <c r="O208" s="6" t="s">
        <v>1313</v>
      </c>
      <c r="P208" s="6" t="s">
        <v>85</v>
      </c>
      <c r="Q208" s="7" t="n">
        <f aca="false">IFERROR(INDEX(Wastage_Factors!$B$2:$B$60,MATCH(P208,Wastage_Factors!$A$2:$A$60,0)),0)</f>
        <v>0</v>
      </c>
      <c r="R208" s="6" t="s">
        <v>1218</v>
      </c>
      <c r="S208" s="6" t="s">
        <v>99</v>
      </c>
      <c r="T208" s="6" t="s">
        <v>88</v>
      </c>
      <c r="U208" s="6" t="s">
        <v>83</v>
      </c>
      <c r="V208" s="6"/>
    </row>
    <row r="209" customFormat="false" ht="22.35" hidden="false" customHeight="false" outlineLevel="0" collapsed="false">
      <c r="A209" s="6" t="s">
        <v>1730</v>
      </c>
      <c r="B209" s="6" t="s">
        <v>1666</v>
      </c>
      <c r="C209" s="6" t="s">
        <v>334</v>
      </c>
      <c r="D209" s="6" t="s">
        <v>1731</v>
      </c>
      <c r="E209" s="6" t="s">
        <v>1732</v>
      </c>
      <c r="F209" s="6" t="s">
        <v>115</v>
      </c>
      <c r="G209" s="6" t="s">
        <v>1733</v>
      </c>
      <c r="H209" s="6" t="s">
        <v>1734</v>
      </c>
      <c r="I209" s="6" t="s">
        <v>1568</v>
      </c>
      <c r="J209" s="6"/>
      <c r="K209" s="6" t="s">
        <v>689</v>
      </c>
      <c r="L209" s="6" t="s">
        <v>83</v>
      </c>
      <c r="M209" s="6" t="s">
        <v>115</v>
      </c>
      <c r="N209" s="6" t="s">
        <v>1735</v>
      </c>
      <c r="O209" s="6"/>
      <c r="P209" s="6" t="s">
        <v>85</v>
      </c>
      <c r="Q209" s="7" t="n">
        <f aca="false">IFERROR(INDEX(Wastage_Factors!$B$2:$B$60,MATCH(P209,Wastage_Factors!$A$2:$A$60,0)),0)</f>
        <v>0</v>
      </c>
      <c r="R209" s="6" t="s">
        <v>1218</v>
      </c>
      <c r="S209" s="6" t="s">
        <v>99</v>
      </c>
      <c r="T209" s="6" t="s">
        <v>109</v>
      </c>
      <c r="U209" s="6" t="s">
        <v>1736</v>
      </c>
      <c r="V209" s="6"/>
    </row>
    <row r="210" customFormat="false" ht="22.35" hidden="false" customHeight="false" outlineLevel="0" collapsed="false">
      <c r="A210" s="6" t="s">
        <v>1737</v>
      </c>
      <c r="B210" s="6" t="s">
        <v>1666</v>
      </c>
      <c r="C210" s="6" t="s">
        <v>1738</v>
      </c>
      <c r="D210" s="6" t="s">
        <v>1739</v>
      </c>
      <c r="E210" s="6" t="s">
        <v>1740</v>
      </c>
      <c r="F210" s="6" t="s">
        <v>182</v>
      </c>
      <c r="G210" s="6" t="s">
        <v>1741</v>
      </c>
      <c r="H210" s="6" t="s">
        <v>1742</v>
      </c>
      <c r="I210" s="6" t="s">
        <v>1743</v>
      </c>
      <c r="J210" s="6"/>
      <c r="K210" s="6" t="s">
        <v>689</v>
      </c>
      <c r="L210" s="6" t="s">
        <v>83</v>
      </c>
      <c r="M210" s="6" t="s">
        <v>182</v>
      </c>
      <c r="N210" s="6" t="s">
        <v>1744</v>
      </c>
      <c r="O210" s="6"/>
      <c r="P210" s="6" t="s">
        <v>977</v>
      </c>
      <c r="Q210" s="7" t="n">
        <f aca="false">IFERROR(INDEX(Wastage_Factors!$B$2:$B$60,MATCH(P210,Wastage_Factors!$A$2:$A$60,0)),0)</f>
        <v>0.05</v>
      </c>
      <c r="R210" s="6" t="s">
        <v>1218</v>
      </c>
      <c r="S210" s="6" t="s">
        <v>87</v>
      </c>
      <c r="T210" s="6" t="s">
        <v>1169</v>
      </c>
      <c r="U210" s="6" t="s">
        <v>1679</v>
      </c>
      <c r="V210" s="6"/>
    </row>
    <row r="211" customFormat="false" ht="22.35" hidden="false" customHeight="false" outlineLevel="0" collapsed="false">
      <c r="A211" s="6" t="s">
        <v>1745</v>
      </c>
      <c r="B211" s="6" t="s">
        <v>1666</v>
      </c>
      <c r="C211" s="6" t="s">
        <v>1632</v>
      </c>
      <c r="D211" s="6" t="s">
        <v>1746</v>
      </c>
      <c r="E211" s="6" t="s">
        <v>1747</v>
      </c>
      <c r="F211" s="6" t="s">
        <v>115</v>
      </c>
      <c r="G211" s="6" t="s">
        <v>1748</v>
      </c>
      <c r="H211" s="6" t="s">
        <v>1749</v>
      </c>
      <c r="I211" s="6" t="s">
        <v>1685</v>
      </c>
      <c r="J211" s="6"/>
      <c r="K211" s="6" t="s">
        <v>689</v>
      </c>
      <c r="L211" s="6" t="s">
        <v>83</v>
      </c>
      <c r="M211" s="6" t="s">
        <v>115</v>
      </c>
      <c r="N211" s="6" t="s">
        <v>1750</v>
      </c>
      <c r="O211" s="6"/>
      <c r="P211" s="6" t="s">
        <v>85</v>
      </c>
      <c r="Q211" s="7" t="n">
        <f aca="false">IFERROR(INDEX(Wastage_Factors!$B$2:$B$60,MATCH(P211,Wastage_Factors!$A$2:$A$60,0)),0)</f>
        <v>0</v>
      </c>
      <c r="R211" s="6" t="s">
        <v>307</v>
      </c>
      <c r="S211" s="6" t="s">
        <v>881</v>
      </c>
      <c r="T211" s="6" t="s">
        <v>88</v>
      </c>
      <c r="U211" s="6" t="s">
        <v>83</v>
      </c>
      <c r="V211" s="6"/>
    </row>
    <row r="212" customFormat="false" ht="22.35" hidden="false" customHeight="false" outlineLevel="0" collapsed="false">
      <c r="A212" s="6" t="s">
        <v>1751</v>
      </c>
      <c r="B212" s="6" t="s">
        <v>1666</v>
      </c>
      <c r="C212" s="6" t="s">
        <v>1752</v>
      </c>
      <c r="D212" s="6" t="s">
        <v>1753</v>
      </c>
      <c r="E212" s="6" t="s">
        <v>1754</v>
      </c>
      <c r="F212" s="6" t="s">
        <v>115</v>
      </c>
      <c r="G212" s="6" t="s">
        <v>1752</v>
      </c>
      <c r="H212" s="6" t="s">
        <v>1755</v>
      </c>
      <c r="I212" s="6" t="s">
        <v>1756</v>
      </c>
      <c r="J212" s="6"/>
      <c r="K212" s="6" t="s">
        <v>689</v>
      </c>
      <c r="L212" s="6" t="s">
        <v>83</v>
      </c>
      <c r="M212" s="6" t="s">
        <v>115</v>
      </c>
      <c r="N212" s="6" t="s">
        <v>149</v>
      </c>
      <c r="O212" s="6" t="s">
        <v>1757</v>
      </c>
      <c r="P212" s="6" t="s">
        <v>85</v>
      </c>
      <c r="Q212" s="7" t="n">
        <f aca="false">IFERROR(INDEX(Wastage_Factors!$B$2:$B$60,MATCH(P212,Wastage_Factors!$A$2:$A$60,0)),0)</f>
        <v>0</v>
      </c>
      <c r="R212" s="6" t="s">
        <v>1218</v>
      </c>
      <c r="S212" s="6" t="s">
        <v>99</v>
      </c>
      <c r="T212" s="6" t="s">
        <v>109</v>
      </c>
      <c r="U212" s="6" t="s">
        <v>1758</v>
      </c>
      <c r="V212" s="6"/>
    </row>
    <row r="213" customFormat="false" ht="22.35" hidden="false" customHeight="false" outlineLevel="0" collapsed="false">
      <c r="A213" s="6" t="s">
        <v>1759</v>
      </c>
      <c r="B213" s="6" t="s">
        <v>1666</v>
      </c>
      <c r="C213" s="6" t="s">
        <v>1694</v>
      </c>
      <c r="D213" s="6" t="s">
        <v>1760</v>
      </c>
      <c r="E213" s="6" t="s">
        <v>1761</v>
      </c>
      <c r="F213" s="6" t="s">
        <v>115</v>
      </c>
      <c r="G213" s="6" t="s">
        <v>1762</v>
      </c>
      <c r="H213" s="6" t="s">
        <v>1763</v>
      </c>
      <c r="I213" s="6" t="s">
        <v>1764</v>
      </c>
      <c r="J213" s="6"/>
      <c r="K213" s="6" t="s">
        <v>689</v>
      </c>
      <c r="L213" s="6" t="s">
        <v>83</v>
      </c>
      <c r="M213" s="6" t="s">
        <v>115</v>
      </c>
      <c r="N213" s="6" t="s">
        <v>1765</v>
      </c>
      <c r="O213" s="6"/>
      <c r="P213" s="6" t="s">
        <v>85</v>
      </c>
      <c r="Q213" s="7" t="n">
        <f aca="false">IFERROR(INDEX(Wastage_Factors!$B$2:$B$60,MATCH(P213,Wastage_Factors!$A$2:$A$60,0)),0)</f>
        <v>0</v>
      </c>
      <c r="R213" s="6" t="s">
        <v>1218</v>
      </c>
      <c r="S213" s="6" t="s">
        <v>99</v>
      </c>
      <c r="T213" s="6" t="s">
        <v>109</v>
      </c>
      <c r="U213" s="6" t="s">
        <v>83</v>
      </c>
      <c r="V213" s="6"/>
    </row>
    <row r="214" customFormat="false" ht="22.35" hidden="false" customHeight="false" outlineLevel="0" collapsed="false">
      <c r="A214" s="6" t="s">
        <v>1766</v>
      </c>
      <c r="B214" s="6" t="s">
        <v>1666</v>
      </c>
      <c r="C214" s="6" t="s">
        <v>1456</v>
      </c>
      <c r="D214" s="6" t="s">
        <v>1767</v>
      </c>
      <c r="E214" s="6" t="s">
        <v>1768</v>
      </c>
      <c r="F214" s="6" t="s">
        <v>115</v>
      </c>
      <c r="G214" s="6" t="s">
        <v>1769</v>
      </c>
      <c r="H214" s="6" t="s">
        <v>1770</v>
      </c>
      <c r="I214" s="6" t="s">
        <v>1771</v>
      </c>
      <c r="J214" s="6" t="s">
        <v>1772</v>
      </c>
      <c r="K214" s="6" t="s">
        <v>689</v>
      </c>
      <c r="L214" s="6" t="s">
        <v>83</v>
      </c>
      <c r="M214" s="6" t="s">
        <v>115</v>
      </c>
      <c r="N214" s="6" t="s">
        <v>1462</v>
      </c>
      <c r="O214" s="6"/>
      <c r="P214" s="6" t="s">
        <v>85</v>
      </c>
      <c r="Q214" s="7" t="n">
        <f aca="false">IFERROR(INDEX(Wastage_Factors!$B$2:$B$60,MATCH(P214,Wastage_Factors!$A$2:$A$60,0)),0)</f>
        <v>0</v>
      </c>
      <c r="R214" s="6" t="s">
        <v>1218</v>
      </c>
      <c r="S214" s="6" t="s">
        <v>99</v>
      </c>
      <c r="T214" s="6" t="s">
        <v>225</v>
      </c>
      <c r="U214" s="6" t="s">
        <v>1375</v>
      </c>
      <c r="V214" s="6"/>
    </row>
    <row r="215" customFormat="false" ht="22.35" hidden="false" customHeight="false" outlineLevel="0" collapsed="false">
      <c r="A215" s="6" t="s">
        <v>1773</v>
      </c>
      <c r="B215" s="6" t="s">
        <v>1666</v>
      </c>
      <c r="C215" s="6" t="s">
        <v>1456</v>
      </c>
      <c r="D215" s="6" t="s">
        <v>1774</v>
      </c>
      <c r="E215" s="6" t="s">
        <v>1775</v>
      </c>
      <c r="F215" s="6" t="s">
        <v>115</v>
      </c>
      <c r="G215" s="6" t="s">
        <v>1776</v>
      </c>
      <c r="H215" s="6" t="s">
        <v>1777</v>
      </c>
      <c r="I215" s="6" t="s">
        <v>1778</v>
      </c>
      <c r="J215" s="6"/>
      <c r="K215" s="6" t="s">
        <v>689</v>
      </c>
      <c r="L215" s="6" t="s">
        <v>83</v>
      </c>
      <c r="M215" s="6" t="s">
        <v>115</v>
      </c>
      <c r="N215" s="6" t="s">
        <v>1066</v>
      </c>
      <c r="O215" s="6"/>
      <c r="P215" s="6" t="s">
        <v>85</v>
      </c>
      <c r="Q215" s="7" t="n">
        <f aca="false">IFERROR(INDEX(Wastage_Factors!$B$2:$B$60,MATCH(P215,Wastage_Factors!$A$2:$A$60,0)),0)</f>
        <v>0</v>
      </c>
      <c r="R215" s="6" t="s">
        <v>1218</v>
      </c>
      <c r="S215" s="6" t="s">
        <v>87</v>
      </c>
      <c r="T215" s="6" t="s">
        <v>88</v>
      </c>
      <c r="U215" s="6" t="s">
        <v>83</v>
      </c>
      <c r="V215" s="6"/>
    </row>
    <row r="216" customFormat="false" ht="22.35" hidden="false" customHeight="false" outlineLevel="0" collapsed="false">
      <c r="A216" s="6" t="s">
        <v>1779</v>
      </c>
      <c r="B216" s="6" t="s">
        <v>1666</v>
      </c>
      <c r="C216" s="6" t="s">
        <v>1393</v>
      </c>
      <c r="D216" s="6" t="s">
        <v>1780</v>
      </c>
      <c r="E216" s="6" t="s">
        <v>1781</v>
      </c>
      <c r="F216" s="6" t="s">
        <v>115</v>
      </c>
      <c r="G216" s="6" t="s">
        <v>1782</v>
      </c>
      <c r="H216" s="6" t="s">
        <v>1783</v>
      </c>
      <c r="I216" s="6" t="s">
        <v>1771</v>
      </c>
      <c r="J216" s="6" t="s">
        <v>1784</v>
      </c>
      <c r="K216" s="6" t="s">
        <v>689</v>
      </c>
      <c r="L216" s="6" t="s">
        <v>83</v>
      </c>
      <c r="M216" s="6" t="s">
        <v>115</v>
      </c>
      <c r="N216" s="6" t="s">
        <v>1785</v>
      </c>
      <c r="O216" s="6"/>
      <c r="P216" s="6" t="s">
        <v>85</v>
      </c>
      <c r="Q216" s="7" t="n">
        <f aca="false">IFERROR(INDEX(Wastage_Factors!$B$2:$B$60,MATCH(P216,Wastage_Factors!$A$2:$A$60,0)),0)</f>
        <v>0</v>
      </c>
      <c r="R216" s="6" t="s">
        <v>1218</v>
      </c>
      <c r="S216" s="6" t="s">
        <v>99</v>
      </c>
      <c r="T216" s="6" t="s">
        <v>225</v>
      </c>
      <c r="U216" s="6" t="s">
        <v>1375</v>
      </c>
      <c r="V216" s="6"/>
    </row>
    <row r="217" customFormat="false" ht="22.35" hidden="false" customHeight="false" outlineLevel="0" collapsed="false">
      <c r="A217" s="6" t="s">
        <v>1786</v>
      </c>
      <c r="B217" s="6" t="s">
        <v>1666</v>
      </c>
      <c r="C217" s="6" t="s">
        <v>1787</v>
      </c>
      <c r="D217" s="6" t="s">
        <v>1788</v>
      </c>
      <c r="E217" s="6" t="s">
        <v>1789</v>
      </c>
      <c r="F217" s="6" t="s">
        <v>115</v>
      </c>
      <c r="G217" s="6" t="s">
        <v>1790</v>
      </c>
      <c r="H217" s="6" t="s">
        <v>1791</v>
      </c>
      <c r="I217" s="6" t="s">
        <v>1792</v>
      </c>
      <c r="J217" s="6" t="s">
        <v>1793</v>
      </c>
      <c r="K217" s="6" t="s">
        <v>689</v>
      </c>
      <c r="L217" s="6" t="s">
        <v>83</v>
      </c>
      <c r="M217" s="6" t="s">
        <v>115</v>
      </c>
      <c r="N217" s="6" t="s">
        <v>1066</v>
      </c>
      <c r="O217" s="6"/>
      <c r="P217" s="6" t="s">
        <v>85</v>
      </c>
      <c r="Q217" s="7" t="n">
        <f aca="false">IFERROR(INDEX(Wastage_Factors!$B$2:$B$60,MATCH(P217,Wastage_Factors!$A$2:$A$60,0)),0)</f>
        <v>0</v>
      </c>
      <c r="R217" s="6" t="s">
        <v>938</v>
      </c>
      <c r="S217" s="6" t="s">
        <v>99</v>
      </c>
      <c r="T217" s="6" t="s">
        <v>1169</v>
      </c>
      <c r="U217" s="6" t="s">
        <v>1794</v>
      </c>
      <c r="V217" s="6"/>
    </row>
    <row r="218" customFormat="false" ht="22.35" hidden="false" customHeight="false" outlineLevel="0" collapsed="false">
      <c r="A218" s="6" t="s">
        <v>1795</v>
      </c>
      <c r="B218" s="6" t="s">
        <v>1796</v>
      </c>
      <c r="C218" s="6" t="s">
        <v>1797</v>
      </c>
      <c r="D218" s="6" t="s">
        <v>1798</v>
      </c>
      <c r="E218" s="6" t="s">
        <v>1799</v>
      </c>
      <c r="F218" s="6" t="s">
        <v>77</v>
      </c>
      <c r="G218" s="6" t="s">
        <v>1800</v>
      </c>
      <c r="H218" s="6" t="s">
        <v>1801</v>
      </c>
      <c r="I218" s="6" t="s">
        <v>1802</v>
      </c>
      <c r="J218" s="6"/>
      <c r="K218" s="6" t="s">
        <v>689</v>
      </c>
      <c r="L218" s="6" t="s">
        <v>1803</v>
      </c>
      <c r="M218" s="6" t="s">
        <v>77</v>
      </c>
      <c r="N218" s="6" t="s">
        <v>149</v>
      </c>
      <c r="O218" s="6" t="s">
        <v>1804</v>
      </c>
      <c r="P218" s="6" t="s">
        <v>1304</v>
      </c>
      <c r="Q218" s="7" t="n">
        <f aca="false">IFERROR(INDEX(Wastage_Factors!$B$2:$B$60,MATCH(P218,Wastage_Factors!$A$2:$A$60,0)),0)</f>
        <v>0.07</v>
      </c>
      <c r="R218" s="6" t="s">
        <v>307</v>
      </c>
      <c r="S218" s="6" t="s">
        <v>99</v>
      </c>
      <c r="T218" s="6" t="s">
        <v>225</v>
      </c>
      <c r="U218" s="6" t="s">
        <v>1805</v>
      </c>
      <c r="V218" s="6"/>
    </row>
    <row r="219" customFormat="false" ht="22.35" hidden="false" customHeight="false" outlineLevel="0" collapsed="false">
      <c r="A219" s="6" t="s">
        <v>1806</v>
      </c>
      <c r="B219" s="6" t="s">
        <v>1796</v>
      </c>
      <c r="C219" s="6" t="s">
        <v>1526</v>
      </c>
      <c r="D219" s="6" t="s">
        <v>1807</v>
      </c>
      <c r="E219" s="6" t="s">
        <v>1808</v>
      </c>
      <c r="F219" s="6" t="s">
        <v>115</v>
      </c>
      <c r="G219" s="6" t="s">
        <v>1809</v>
      </c>
      <c r="H219" s="6" t="s">
        <v>1801</v>
      </c>
      <c r="I219" s="6" t="s">
        <v>1810</v>
      </c>
      <c r="J219" s="6"/>
      <c r="K219" s="6" t="s">
        <v>689</v>
      </c>
      <c r="L219" s="6" t="s">
        <v>83</v>
      </c>
      <c r="M219" s="6" t="s">
        <v>115</v>
      </c>
      <c r="N219" s="6" t="s">
        <v>149</v>
      </c>
      <c r="O219" s="6" t="s">
        <v>1804</v>
      </c>
      <c r="P219" s="6" t="s">
        <v>1346</v>
      </c>
      <c r="Q219" s="7" t="n">
        <f aca="false">IFERROR(INDEX(Wastage_Factors!$B$2:$B$60,MATCH(P219,Wastage_Factors!$A$2:$A$60,0)),0)</f>
        <v>0.05</v>
      </c>
      <c r="R219" s="6" t="s">
        <v>307</v>
      </c>
      <c r="S219" s="6" t="s">
        <v>99</v>
      </c>
      <c r="T219" s="6" t="s">
        <v>225</v>
      </c>
      <c r="U219" s="6" t="s">
        <v>83</v>
      </c>
      <c r="V219" s="6"/>
    </row>
    <row r="220" customFormat="false" ht="22.35" hidden="false" customHeight="false" outlineLevel="0" collapsed="false">
      <c r="A220" s="6" t="s">
        <v>1811</v>
      </c>
      <c r="B220" s="6" t="s">
        <v>1796</v>
      </c>
      <c r="C220" s="6" t="s">
        <v>1812</v>
      </c>
      <c r="D220" s="6" t="s">
        <v>1813</v>
      </c>
      <c r="E220" s="6" t="s">
        <v>1814</v>
      </c>
      <c r="F220" s="6" t="s">
        <v>115</v>
      </c>
      <c r="G220" s="6" t="s">
        <v>1815</v>
      </c>
      <c r="H220" s="6" t="s">
        <v>1801</v>
      </c>
      <c r="I220" s="6" t="s">
        <v>1810</v>
      </c>
      <c r="J220" s="6"/>
      <c r="K220" s="6" t="s">
        <v>689</v>
      </c>
      <c r="L220" s="6" t="s">
        <v>83</v>
      </c>
      <c r="M220" s="6" t="s">
        <v>115</v>
      </c>
      <c r="N220" s="6" t="s">
        <v>149</v>
      </c>
      <c r="O220" s="6" t="s">
        <v>1804</v>
      </c>
      <c r="P220" s="6" t="s">
        <v>85</v>
      </c>
      <c r="Q220" s="7" t="n">
        <f aca="false">IFERROR(INDEX(Wastage_Factors!$B$2:$B$60,MATCH(P220,Wastage_Factors!$A$2:$A$60,0)),0)</f>
        <v>0</v>
      </c>
      <c r="R220" s="6" t="s">
        <v>1218</v>
      </c>
      <c r="S220" s="6" t="s">
        <v>99</v>
      </c>
      <c r="T220" s="6" t="s">
        <v>109</v>
      </c>
      <c r="U220" s="6" t="s">
        <v>83</v>
      </c>
      <c r="V220" s="6"/>
    </row>
    <row r="221" customFormat="false" ht="22.35" hidden="false" customHeight="false" outlineLevel="0" collapsed="false">
      <c r="A221" s="6" t="s">
        <v>1816</v>
      </c>
      <c r="B221" s="6" t="s">
        <v>1796</v>
      </c>
      <c r="C221" s="6" t="s">
        <v>1817</v>
      </c>
      <c r="D221" s="6" t="s">
        <v>1818</v>
      </c>
      <c r="E221" s="6" t="s">
        <v>1819</v>
      </c>
      <c r="F221" s="6" t="s">
        <v>77</v>
      </c>
      <c r="G221" s="6" t="s">
        <v>1820</v>
      </c>
      <c r="H221" s="6" t="s">
        <v>1821</v>
      </c>
      <c r="I221" s="6" t="s">
        <v>1822</v>
      </c>
      <c r="J221" s="6"/>
      <c r="K221" s="6" t="s">
        <v>689</v>
      </c>
      <c r="L221" s="6" t="s">
        <v>83</v>
      </c>
      <c r="M221" s="6" t="s">
        <v>77</v>
      </c>
      <c r="N221" s="6" t="s">
        <v>1823</v>
      </c>
      <c r="O221" s="6"/>
      <c r="P221" s="6" t="s">
        <v>184</v>
      </c>
      <c r="Q221" s="7" t="n">
        <f aca="false">IFERROR(INDEX(Wastage_Factors!$B$2:$B$60,MATCH(P221,Wastage_Factors!$A$2:$A$60,0)),0)</f>
        <v>0.05</v>
      </c>
      <c r="R221" s="6" t="s">
        <v>307</v>
      </c>
      <c r="S221" s="6" t="s">
        <v>99</v>
      </c>
      <c r="T221" s="6" t="s">
        <v>109</v>
      </c>
      <c r="U221" s="6" t="s">
        <v>83</v>
      </c>
      <c r="V221" s="6"/>
    </row>
    <row r="222" customFormat="false" ht="22.35" hidden="false" customHeight="false" outlineLevel="0" collapsed="false">
      <c r="A222" s="6" t="s">
        <v>1824</v>
      </c>
      <c r="B222" s="6" t="s">
        <v>1796</v>
      </c>
      <c r="C222" s="6" t="s">
        <v>1825</v>
      </c>
      <c r="D222" s="6" t="s">
        <v>1826</v>
      </c>
      <c r="E222" s="6" t="s">
        <v>1827</v>
      </c>
      <c r="F222" s="6" t="s">
        <v>94</v>
      </c>
      <c r="G222" s="6" t="s">
        <v>1828</v>
      </c>
      <c r="H222" s="6" t="s">
        <v>1829</v>
      </c>
      <c r="I222" s="6" t="s">
        <v>1830</v>
      </c>
      <c r="J222" s="6" t="s">
        <v>1831</v>
      </c>
      <c r="K222" s="6" t="s">
        <v>689</v>
      </c>
      <c r="L222" s="6" t="s">
        <v>1832</v>
      </c>
      <c r="M222" s="6" t="s">
        <v>94</v>
      </c>
      <c r="N222" s="6" t="s">
        <v>94</v>
      </c>
      <c r="O222" s="6"/>
      <c r="P222" s="6" t="s">
        <v>85</v>
      </c>
      <c r="Q222" s="7" t="n">
        <f aca="false">IFERROR(INDEX(Wastage_Factors!$B$2:$B$60,MATCH(P222,Wastage_Factors!$A$2:$A$60,0)),0)</f>
        <v>0</v>
      </c>
      <c r="R222" s="6" t="s">
        <v>202</v>
      </c>
      <c r="S222" s="6" t="s">
        <v>193</v>
      </c>
      <c r="T222" s="6" t="s">
        <v>88</v>
      </c>
      <c r="U222" s="6" t="s">
        <v>83</v>
      </c>
      <c r="V222" s="6"/>
    </row>
    <row r="223" customFormat="false" ht="22.35" hidden="false" customHeight="false" outlineLevel="0" collapsed="false">
      <c r="A223" s="6" t="s">
        <v>1833</v>
      </c>
      <c r="B223" s="6" t="s">
        <v>1796</v>
      </c>
      <c r="C223" s="6" t="s">
        <v>1834</v>
      </c>
      <c r="D223" s="6" t="s">
        <v>1835</v>
      </c>
      <c r="E223" s="6" t="s">
        <v>1836</v>
      </c>
      <c r="F223" s="6" t="s">
        <v>932</v>
      </c>
      <c r="G223" s="6" t="s">
        <v>1837</v>
      </c>
      <c r="H223" s="6" t="s">
        <v>1838</v>
      </c>
      <c r="I223" s="6" t="s">
        <v>1839</v>
      </c>
      <c r="J223" s="6"/>
      <c r="K223" s="6" t="s">
        <v>689</v>
      </c>
      <c r="L223" s="6" t="s">
        <v>83</v>
      </c>
      <c r="M223" s="6" t="s">
        <v>932</v>
      </c>
      <c r="N223" s="6" t="s">
        <v>1066</v>
      </c>
      <c r="O223" s="6"/>
      <c r="P223" s="6" t="s">
        <v>85</v>
      </c>
      <c r="Q223" s="7" t="n">
        <f aca="false">IFERROR(INDEX(Wastage_Factors!$B$2:$B$60,MATCH(P223,Wastage_Factors!$A$2:$A$60,0)),0)</f>
        <v>0</v>
      </c>
      <c r="R223" s="6" t="s">
        <v>1218</v>
      </c>
      <c r="S223" s="6" t="s">
        <v>535</v>
      </c>
      <c r="T223" s="6" t="s">
        <v>88</v>
      </c>
      <c r="U223" s="6" t="s">
        <v>83</v>
      </c>
      <c r="V223" s="6"/>
    </row>
    <row r="224" customFormat="false" ht="32.8" hidden="false" customHeight="false" outlineLevel="0" collapsed="false">
      <c r="A224" s="6" t="s">
        <v>1840</v>
      </c>
      <c r="B224" s="6" t="s">
        <v>1841</v>
      </c>
      <c r="C224" s="6" t="s">
        <v>1842</v>
      </c>
      <c r="D224" s="6" t="s">
        <v>1843</v>
      </c>
      <c r="E224" s="6" t="s">
        <v>1844</v>
      </c>
      <c r="F224" s="6" t="s">
        <v>77</v>
      </c>
      <c r="G224" s="6" t="s">
        <v>1845</v>
      </c>
      <c r="H224" s="6" t="s">
        <v>1846</v>
      </c>
      <c r="I224" s="6" t="s">
        <v>1847</v>
      </c>
      <c r="J224" s="6" t="s">
        <v>1848</v>
      </c>
      <c r="K224" s="6" t="s">
        <v>1841</v>
      </c>
      <c r="L224" s="6" t="s">
        <v>1849</v>
      </c>
      <c r="M224" s="6" t="s">
        <v>77</v>
      </c>
      <c r="N224" s="6" t="s">
        <v>149</v>
      </c>
      <c r="O224" s="6" t="s">
        <v>1850</v>
      </c>
      <c r="P224" s="6" t="s">
        <v>1851</v>
      </c>
      <c r="Q224" s="7" t="n">
        <f aca="false">IFERROR(INDEX(Wastage_Factors!$B$2:$B$60,MATCH(P224,Wastage_Factors!$A$2:$A$60,0)),0)</f>
        <v>0.08</v>
      </c>
      <c r="R224" s="6" t="s">
        <v>1852</v>
      </c>
      <c r="S224" s="6" t="s">
        <v>99</v>
      </c>
      <c r="T224" s="6" t="s">
        <v>109</v>
      </c>
      <c r="U224" s="6" t="s">
        <v>1853</v>
      </c>
      <c r="V224" s="6" t="s">
        <v>1854</v>
      </c>
    </row>
    <row r="225" customFormat="false" ht="22.35" hidden="false" customHeight="false" outlineLevel="0" collapsed="false">
      <c r="A225" s="6" t="s">
        <v>1855</v>
      </c>
      <c r="B225" s="6" t="s">
        <v>1841</v>
      </c>
      <c r="C225" s="6" t="s">
        <v>1842</v>
      </c>
      <c r="D225" s="6" t="s">
        <v>1856</v>
      </c>
      <c r="E225" s="6" t="s">
        <v>1857</v>
      </c>
      <c r="F225" s="6" t="s">
        <v>77</v>
      </c>
      <c r="G225" s="6" t="s">
        <v>1858</v>
      </c>
      <c r="H225" s="6" t="s">
        <v>1859</v>
      </c>
      <c r="I225" s="6" t="s">
        <v>1860</v>
      </c>
      <c r="J225" s="6"/>
      <c r="K225" s="6" t="s">
        <v>1841</v>
      </c>
      <c r="L225" s="6" t="s">
        <v>1849</v>
      </c>
      <c r="M225" s="6" t="s">
        <v>77</v>
      </c>
      <c r="N225" s="6" t="s">
        <v>149</v>
      </c>
      <c r="O225" s="6" t="s">
        <v>1861</v>
      </c>
      <c r="P225" s="6" t="s">
        <v>1851</v>
      </c>
      <c r="Q225" s="7" t="n">
        <f aca="false">IFERROR(INDEX(Wastage_Factors!$B$2:$B$60,MATCH(P225,Wastage_Factors!$A$2:$A$60,0)),0)</f>
        <v>0.08</v>
      </c>
      <c r="R225" s="6" t="s">
        <v>1852</v>
      </c>
      <c r="S225" s="6" t="s">
        <v>99</v>
      </c>
      <c r="T225" s="6" t="s">
        <v>109</v>
      </c>
      <c r="U225" s="6" t="s">
        <v>1853</v>
      </c>
      <c r="V225" s="6" t="s">
        <v>1854</v>
      </c>
    </row>
    <row r="226" customFormat="false" ht="15" hidden="false" customHeight="false" outlineLevel="0" collapsed="false">
      <c r="A226" s="6" t="s">
        <v>1862</v>
      </c>
      <c r="B226" s="6" t="s">
        <v>1841</v>
      </c>
      <c r="C226" s="6" t="s">
        <v>1842</v>
      </c>
      <c r="D226" s="6" t="s">
        <v>1863</v>
      </c>
      <c r="E226" s="6" t="s">
        <v>83</v>
      </c>
      <c r="F226" s="6" t="s">
        <v>77</v>
      </c>
      <c r="G226" s="6" t="s">
        <v>1864</v>
      </c>
      <c r="H226" s="6" t="s">
        <v>1865</v>
      </c>
      <c r="I226" s="6" t="s">
        <v>1866</v>
      </c>
      <c r="J226" s="6"/>
      <c r="K226" s="6" t="s">
        <v>1841</v>
      </c>
      <c r="L226" s="6" t="s">
        <v>83</v>
      </c>
      <c r="M226" s="6" t="s">
        <v>77</v>
      </c>
      <c r="N226" s="6" t="s">
        <v>1867</v>
      </c>
      <c r="O226" s="6"/>
      <c r="P226" s="6" t="s">
        <v>1851</v>
      </c>
      <c r="Q226" s="7" t="n">
        <f aca="false">IFERROR(INDEX(Wastage_Factors!$B$2:$B$60,MATCH(P226,Wastage_Factors!$A$2:$A$60,0)),0)</f>
        <v>0.08</v>
      </c>
      <c r="R226" s="6" t="s">
        <v>324</v>
      </c>
      <c r="S226" s="6" t="s">
        <v>87</v>
      </c>
      <c r="T226" s="6" t="s">
        <v>88</v>
      </c>
      <c r="U226" s="6" t="s">
        <v>83</v>
      </c>
      <c r="V226" s="6"/>
    </row>
    <row r="227" customFormat="false" ht="22.35" hidden="false" customHeight="false" outlineLevel="0" collapsed="false">
      <c r="A227" s="6" t="s">
        <v>1868</v>
      </c>
      <c r="B227" s="6" t="s">
        <v>1841</v>
      </c>
      <c r="C227" s="6" t="s">
        <v>1526</v>
      </c>
      <c r="D227" s="6" t="s">
        <v>1869</v>
      </c>
      <c r="E227" s="6" t="s">
        <v>1870</v>
      </c>
      <c r="F227" s="6" t="s">
        <v>115</v>
      </c>
      <c r="G227" s="6" t="s">
        <v>1871</v>
      </c>
      <c r="H227" s="6" t="s">
        <v>1872</v>
      </c>
      <c r="I227" s="6" t="s">
        <v>1873</v>
      </c>
      <c r="J227" s="6"/>
      <c r="K227" s="6" t="s">
        <v>1841</v>
      </c>
      <c r="L227" s="6" t="s">
        <v>83</v>
      </c>
      <c r="M227" s="6" t="s">
        <v>115</v>
      </c>
      <c r="N227" s="6" t="s">
        <v>149</v>
      </c>
      <c r="O227" s="6" t="s">
        <v>1874</v>
      </c>
      <c r="P227" s="6" t="s">
        <v>1346</v>
      </c>
      <c r="Q227" s="7" t="n">
        <f aca="false">IFERROR(INDEX(Wastage_Factors!$B$2:$B$60,MATCH(P227,Wastage_Factors!$A$2:$A$60,0)),0)</f>
        <v>0.05</v>
      </c>
      <c r="R227" s="6" t="s">
        <v>1852</v>
      </c>
      <c r="S227" s="6" t="s">
        <v>99</v>
      </c>
      <c r="T227" s="6" t="s">
        <v>109</v>
      </c>
      <c r="U227" s="6" t="s">
        <v>83</v>
      </c>
      <c r="V227" s="6" t="s">
        <v>1854</v>
      </c>
    </row>
    <row r="228" customFormat="false" ht="32.8" hidden="false" customHeight="false" outlineLevel="0" collapsed="false">
      <c r="A228" s="6" t="s">
        <v>1875</v>
      </c>
      <c r="B228" s="6" t="s">
        <v>1841</v>
      </c>
      <c r="C228" s="6" t="s">
        <v>1876</v>
      </c>
      <c r="D228" s="6" t="s">
        <v>1877</v>
      </c>
      <c r="E228" s="6" t="s">
        <v>83</v>
      </c>
      <c r="F228" s="6" t="s">
        <v>115</v>
      </c>
      <c r="G228" s="6" t="s">
        <v>1878</v>
      </c>
      <c r="H228" s="6" t="s">
        <v>1879</v>
      </c>
      <c r="I228" s="6" t="s">
        <v>1873</v>
      </c>
      <c r="J228" s="6"/>
      <c r="K228" s="6" t="s">
        <v>1841</v>
      </c>
      <c r="L228" s="6" t="s">
        <v>83</v>
      </c>
      <c r="M228" s="6" t="s">
        <v>115</v>
      </c>
      <c r="N228" s="6" t="s">
        <v>149</v>
      </c>
      <c r="O228" s="6" t="s">
        <v>1880</v>
      </c>
      <c r="P228" s="6" t="s">
        <v>85</v>
      </c>
      <c r="Q228" s="7" t="n">
        <f aca="false">IFERROR(INDEX(Wastage_Factors!$B$2:$B$60,MATCH(P228,Wastage_Factors!$A$2:$A$60,0)),0)</f>
        <v>0</v>
      </c>
      <c r="R228" s="6" t="s">
        <v>324</v>
      </c>
      <c r="S228" s="6" t="s">
        <v>99</v>
      </c>
      <c r="T228" s="6" t="s">
        <v>109</v>
      </c>
      <c r="U228" s="6" t="s">
        <v>83</v>
      </c>
      <c r="V228" s="6" t="s">
        <v>1854</v>
      </c>
    </row>
    <row r="229" customFormat="false" ht="22.35" hidden="false" customHeight="false" outlineLevel="0" collapsed="false">
      <c r="A229" s="6" t="s">
        <v>1881</v>
      </c>
      <c r="B229" s="6" t="s">
        <v>1841</v>
      </c>
      <c r="C229" s="6" t="s">
        <v>1882</v>
      </c>
      <c r="D229" s="6" t="s">
        <v>1883</v>
      </c>
      <c r="E229" s="6" t="s">
        <v>1884</v>
      </c>
      <c r="F229" s="6" t="s">
        <v>1885</v>
      </c>
      <c r="G229" s="6" t="s">
        <v>1886</v>
      </c>
      <c r="H229" s="6" t="s">
        <v>1887</v>
      </c>
      <c r="I229" s="6" t="s">
        <v>1888</v>
      </c>
      <c r="J229" s="6" t="s">
        <v>1889</v>
      </c>
      <c r="K229" s="6" t="s">
        <v>1841</v>
      </c>
      <c r="L229" s="6" t="s">
        <v>1890</v>
      </c>
      <c r="M229" s="6" t="s">
        <v>1885</v>
      </c>
      <c r="N229" s="6" t="s">
        <v>149</v>
      </c>
      <c r="O229" s="6" t="s">
        <v>1891</v>
      </c>
      <c r="P229" s="6" t="s">
        <v>1892</v>
      </c>
      <c r="Q229" s="7" t="n">
        <f aca="false">IFERROR(INDEX(Wastage_Factors!$B$2:$B$60,MATCH(P229,Wastage_Factors!$A$2:$A$60,0)),0)</f>
        <v>0.1</v>
      </c>
      <c r="R229" s="6" t="s">
        <v>244</v>
      </c>
      <c r="S229" s="6" t="s">
        <v>99</v>
      </c>
      <c r="T229" s="6" t="s">
        <v>109</v>
      </c>
      <c r="U229" s="6" t="s">
        <v>1853</v>
      </c>
      <c r="V229" s="6" t="s">
        <v>1854</v>
      </c>
    </row>
    <row r="230" customFormat="false" ht="22.35" hidden="false" customHeight="false" outlineLevel="0" collapsed="false">
      <c r="A230" s="6" t="s">
        <v>1893</v>
      </c>
      <c r="B230" s="6" t="s">
        <v>1841</v>
      </c>
      <c r="C230" s="6" t="s">
        <v>1882</v>
      </c>
      <c r="D230" s="6" t="s">
        <v>1894</v>
      </c>
      <c r="E230" s="6" t="s">
        <v>1895</v>
      </c>
      <c r="F230" s="6" t="s">
        <v>1885</v>
      </c>
      <c r="G230" s="6" t="s">
        <v>1896</v>
      </c>
      <c r="H230" s="6" t="s">
        <v>1897</v>
      </c>
      <c r="I230" s="6" t="s">
        <v>1898</v>
      </c>
      <c r="J230" s="6"/>
      <c r="K230" s="6" t="s">
        <v>1841</v>
      </c>
      <c r="L230" s="6" t="s">
        <v>1890</v>
      </c>
      <c r="M230" s="6" t="s">
        <v>1885</v>
      </c>
      <c r="N230" s="6" t="s">
        <v>149</v>
      </c>
      <c r="O230" s="6" t="s">
        <v>1899</v>
      </c>
      <c r="P230" s="6" t="s">
        <v>1892</v>
      </c>
      <c r="Q230" s="7" t="n">
        <f aca="false">IFERROR(INDEX(Wastage_Factors!$B$2:$B$60,MATCH(P230,Wastage_Factors!$A$2:$A$60,0)),0)</f>
        <v>0.1</v>
      </c>
      <c r="R230" s="6" t="s">
        <v>244</v>
      </c>
      <c r="S230" s="6" t="s">
        <v>99</v>
      </c>
      <c r="T230" s="6" t="s">
        <v>109</v>
      </c>
      <c r="U230" s="6" t="s">
        <v>1853</v>
      </c>
      <c r="V230" s="6" t="s">
        <v>1854</v>
      </c>
    </row>
    <row r="231" customFormat="false" ht="22.35" hidden="false" customHeight="false" outlineLevel="0" collapsed="false">
      <c r="A231" s="6" t="s">
        <v>1900</v>
      </c>
      <c r="B231" s="6" t="s">
        <v>1841</v>
      </c>
      <c r="C231" s="6" t="s">
        <v>1882</v>
      </c>
      <c r="D231" s="6" t="s">
        <v>1901</v>
      </c>
      <c r="E231" s="6" t="s">
        <v>1895</v>
      </c>
      <c r="F231" s="6" t="s">
        <v>1885</v>
      </c>
      <c r="G231" s="6" t="s">
        <v>1902</v>
      </c>
      <c r="H231" s="6" t="s">
        <v>1903</v>
      </c>
      <c r="I231" s="6" t="s">
        <v>1904</v>
      </c>
      <c r="J231" s="6"/>
      <c r="K231" s="6" t="s">
        <v>1841</v>
      </c>
      <c r="L231" s="6" t="s">
        <v>1890</v>
      </c>
      <c r="M231" s="6" t="s">
        <v>1885</v>
      </c>
      <c r="N231" s="6" t="s">
        <v>149</v>
      </c>
      <c r="O231" s="6" t="s">
        <v>1905</v>
      </c>
      <c r="P231" s="6" t="s">
        <v>1892</v>
      </c>
      <c r="Q231" s="7" t="n">
        <f aca="false">IFERROR(INDEX(Wastage_Factors!$B$2:$B$60,MATCH(P231,Wastage_Factors!$A$2:$A$60,0)),0)</f>
        <v>0.1</v>
      </c>
      <c r="R231" s="6" t="s">
        <v>244</v>
      </c>
      <c r="S231" s="6" t="s">
        <v>99</v>
      </c>
      <c r="T231" s="6" t="s">
        <v>109</v>
      </c>
      <c r="U231" s="6" t="s">
        <v>1853</v>
      </c>
      <c r="V231" s="6" t="s">
        <v>1854</v>
      </c>
    </row>
    <row r="232" customFormat="false" ht="22.35" hidden="false" customHeight="false" outlineLevel="0" collapsed="false">
      <c r="A232" s="6" t="s">
        <v>1906</v>
      </c>
      <c r="B232" s="6" t="s">
        <v>1841</v>
      </c>
      <c r="C232" s="6" t="s">
        <v>1882</v>
      </c>
      <c r="D232" s="6" t="s">
        <v>1907</v>
      </c>
      <c r="E232" s="6" t="s">
        <v>1895</v>
      </c>
      <c r="F232" s="6" t="s">
        <v>1885</v>
      </c>
      <c r="G232" s="6" t="s">
        <v>1908</v>
      </c>
      <c r="H232" s="6" t="s">
        <v>1909</v>
      </c>
      <c r="I232" s="6" t="s">
        <v>1910</v>
      </c>
      <c r="J232" s="6"/>
      <c r="K232" s="6" t="s">
        <v>1841</v>
      </c>
      <c r="L232" s="6" t="s">
        <v>1890</v>
      </c>
      <c r="M232" s="6" t="s">
        <v>1885</v>
      </c>
      <c r="N232" s="6" t="s">
        <v>149</v>
      </c>
      <c r="O232" s="6" t="s">
        <v>1911</v>
      </c>
      <c r="P232" s="6" t="s">
        <v>1892</v>
      </c>
      <c r="Q232" s="7" t="n">
        <f aca="false">IFERROR(INDEX(Wastage_Factors!$B$2:$B$60,MATCH(P232,Wastage_Factors!$A$2:$A$60,0)),0)</f>
        <v>0.1</v>
      </c>
      <c r="R232" s="6" t="s">
        <v>244</v>
      </c>
      <c r="S232" s="6" t="s">
        <v>99</v>
      </c>
      <c r="T232" s="6" t="s">
        <v>109</v>
      </c>
      <c r="U232" s="6" t="s">
        <v>1912</v>
      </c>
      <c r="V232" s="6"/>
    </row>
    <row r="233" customFormat="false" ht="22.35" hidden="false" customHeight="false" outlineLevel="0" collapsed="false">
      <c r="A233" s="6" t="s">
        <v>1913</v>
      </c>
      <c r="B233" s="6" t="s">
        <v>1841</v>
      </c>
      <c r="C233" s="6" t="s">
        <v>1914</v>
      </c>
      <c r="D233" s="6" t="s">
        <v>1915</v>
      </c>
      <c r="E233" s="6" t="s">
        <v>1916</v>
      </c>
      <c r="F233" s="6" t="s">
        <v>1885</v>
      </c>
      <c r="G233" s="6" t="s">
        <v>1917</v>
      </c>
      <c r="H233" s="6" t="s">
        <v>1918</v>
      </c>
      <c r="I233" s="6" t="s">
        <v>1919</v>
      </c>
      <c r="J233" s="6" t="s">
        <v>1920</v>
      </c>
      <c r="K233" s="6" t="s">
        <v>1841</v>
      </c>
      <c r="L233" s="6" t="s">
        <v>1921</v>
      </c>
      <c r="M233" s="6" t="s">
        <v>1885</v>
      </c>
      <c r="N233" s="6" t="s">
        <v>1469</v>
      </c>
      <c r="O233" s="6"/>
      <c r="P233" s="6" t="s">
        <v>1922</v>
      </c>
      <c r="Q233" s="7" t="n">
        <f aca="false">IFERROR(INDEX(Wastage_Factors!$B$2:$B$60,MATCH(P233,Wastage_Factors!$A$2:$A$60,0)),0)</f>
        <v>0.05</v>
      </c>
      <c r="R233" s="6" t="s">
        <v>202</v>
      </c>
      <c r="S233" s="6" t="s">
        <v>99</v>
      </c>
      <c r="T233" s="6" t="s">
        <v>109</v>
      </c>
      <c r="U233" s="6" t="s">
        <v>1923</v>
      </c>
      <c r="V233" s="6"/>
    </row>
    <row r="234" customFormat="false" ht="32.8" hidden="false" customHeight="false" outlineLevel="0" collapsed="false">
      <c r="A234" s="6" t="s">
        <v>1924</v>
      </c>
      <c r="B234" s="6" t="s">
        <v>1841</v>
      </c>
      <c r="C234" s="6" t="s">
        <v>1925</v>
      </c>
      <c r="D234" s="6" t="s">
        <v>1926</v>
      </c>
      <c r="E234" s="6" t="s">
        <v>1927</v>
      </c>
      <c r="F234" s="6" t="s">
        <v>1885</v>
      </c>
      <c r="G234" s="6" t="s">
        <v>1928</v>
      </c>
      <c r="H234" s="6" t="s">
        <v>1929</v>
      </c>
      <c r="I234" s="6" t="s">
        <v>1873</v>
      </c>
      <c r="J234" s="6"/>
      <c r="K234" s="6" t="s">
        <v>1841</v>
      </c>
      <c r="L234" s="6" t="s">
        <v>1930</v>
      </c>
      <c r="M234" s="6" t="s">
        <v>1885</v>
      </c>
      <c r="N234" s="6" t="s">
        <v>149</v>
      </c>
      <c r="O234" s="6" t="s">
        <v>1931</v>
      </c>
      <c r="P234" s="6" t="s">
        <v>1892</v>
      </c>
      <c r="Q234" s="7" t="n">
        <f aca="false">IFERROR(INDEX(Wastage_Factors!$B$2:$B$60,MATCH(P234,Wastage_Factors!$A$2:$A$60,0)),0)</f>
        <v>0.1</v>
      </c>
      <c r="R234" s="6" t="s">
        <v>244</v>
      </c>
      <c r="S234" s="6" t="s">
        <v>99</v>
      </c>
      <c r="T234" s="6" t="s">
        <v>225</v>
      </c>
      <c r="U234" s="6" t="s">
        <v>1932</v>
      </c>
      <c r="V234" s="6" t="s">
        <v>1854</v>
      </c>
    </row>
    <row r="235" customFormat="false" ht="22.35" hidden="false" customHeight="false" outlineLevel="0" collapsed="false">
      <c r="A235" s="6" t="s">
        <v>1933</v>
      </c>
      <c r="B235" s="6" t="s">
        <v>1841</v>
      </c>
      <c r="C235" s="6" t="s">
        <v>1934</v>
      </c>
      <c r="D235" s="6" t="s">
        <v>1935</v>
      </c>
      <c r="E235" s="6" t="s">
        <v>1936</v>
      </c>
      <c r="F235" s="6" t="s">
        <v>932</v>
      </c>
      <c r="G235" s="6" t="s">
        <v>1937</v>
      </c>
      <c r="H235" s="6" t="s">
        <v>1938</v>
      </c>
      <c r="I235" s="6" t="s">
        <v>1939</v>
      </c>
      <c r="J235" s="6" t="s">
        <v>1940</v>
      </c>
      <c r="K235" s="6" t="s">
        <v>1841</v>
      </c>
      <c r="L235" s="6" t="s">
        <v>1941</v>
      </c>
      <c r="M235" s="6" t="s">
        <v>932</v>
      </c>
      <c r="N235" s="6" t="s">
        <v>149</v>
      </c>
      <c r="O235" s="6" t="s">
        <v>1942</v>
      </c>
      <c r="P235" s="6" t="s">
        <v>85</v>
      </c>
      <c r="Q235" s="7" t="n">
        <f aca="false">IFERROR(INDEX(Wastage_Factors!$B$2:$B$60,MATCH(P235,Wastage_Factors!$A$2:$A$60,0)),0)</f>
        <v>0</v>
      </c>
      <c r="R235" s="6" t="s">
        <v>132</v>
      </c>
      <c r="S235" s="6" t="s">
        <v>99</v>
      </c>
      <c r="T235" s="6" t="s">
        <v>225</v>
      </c>
      <c r="U235" s="6" t="s">
        <v>1932</v>
      </c>
      <c r="V235" s="6"/>
    </row>
    <row r="236" customFormat="false" ht="22.35" hidden="false" customHeight="false" outlineLevel="0" collapsed="false">
      <c r="A236" s="6" t="s">
        <v>1943</v>
      </c>
      <c r="B236" s="6" t="s">
        <v>1841</v>
      </c>
      <c r="C236" s="6" t="s">
        <v>1934</v>
      </c>
      <c r="D236" s="6" t="s">
        <v>1944</v>
      </c>
      <c r="E236" s="6" t="s">
        <v>1945</v>
      </c>
      <c r="F236" s="6" t="s">
        <v>1885</v>
      </c>
      <c r="G236" s="6" t="s">
        <v>1946</v>
      </c>
      <c r="H236" s="6" t="s">
        <v>1938</v>
      </c>
      <c r="I236" s="6" t="s">
        <v>1947</v>
      </c>
      <c r="J236" s="6"/>
      <c r="K236" s="6" t="s">
        <v>1841</v>
      </c>
      <c r="L236" s="6" t="s">
        <v>83</v>
      </c>
      <c r="M236" s="6" t="s">
        <v>1885</v>
      </c>
      <c r="N236" s="6" t="s">
        <v>149</v>
      </c>
      <c r="O236" s="6" t="s">
        <v>1942</v>
      </c>
      <c r="P236" s="6" t="s">
        <v>1948</v>
      </c>
      <c r="Q236" s="7" t="n">
        <f aca="false">IFERROR(INDEX(Wastage_Factors!$B$2:$B$60,MATCH(P236,Wastage_Factors!$A$2:$A$60,0)),0)</f>
        <v>0.1</v>
      </c>
      <c r="R236" s="6" t="s">
        <v>132</v>
      </c>
      <c r="S236" s="6" t="s">
        <v>99</v>
      </c>
      <c r="T236" s="6" t="s">
        <v>225</v>
      </c>
      <c r="U236" s="6" t="s">
        <v>1932</v>
      </c>
      <c r="V236" s="6"/>
    </row>
    <row r="237" customFormat="false" ht="22.35" hidden="false" customHeight="false" outlineLevel="0" collapsed="false">
      <c r="A237" s="6" t="s">
        <v>1949</v>
      </c>
      <c r="B237" s="6" t="s">
        <v>1841</v>
      </c>
      <c r="C237" s="6" t="s">
        <v>1950</v>
      </c>
      <c r="D237" s="6" t="s">
        <v>1951</v>
      </c>
      <c r="E237" s="6" t="s">
        <v>1952</v>
      </c>
      <c r="F237" s="6" t="s">
        <v>115</v>
      </c>
      <c r="G237" s="6" t="s">
        <v>1953</v>
      </c>
      <c r="H237" s="6" t="s">
        <v>1954</v>
      </c>
      <c r="I237" s="6" t="s">
        <v>1955</v>
      </c>
      <c r="J237" s="6"/>
      <c r="K237" s="6" t="s">
        <v>1841</v>
      </c>
      <c r="L237" s="6" t="s">
        <v>1956</v>
      </c>
      <c r="M237" s="6" t="s">
        <v>115</v>
      </c>
      <c r="N237" s="6" t="s">
        <v>149</v>
      </c>
      <c r="O237" s="6" t="s">
        <v>1957</v>
      </c>
      <c r="P237" s="6" t="s">
        <v>85</v>
      </c>
      <c r="Q237" s="7" t="n">
        <f aca="false">IFERROR(INDEX(Wastage_Factors!$B$2:$B$60,MATCH(P237,Wastage_Factors!$A$2:$A$60,0)),0)</f>
        <v>0</v>
      </c>
      <c r="R237" s="6" t="s">
        <v>244</v>
      </c>
      <c r="S237" s="6" t="s">
        <v>99</v>
      </c>
      <c r="T237" s="6" t="s">
        <v>1169</v>
      </c>
      <c r="U237" s="6" t="s">
        <v>1958</v>
      </c>
      <c r="V237" s="6"/>
    </row>
    <row r="238" customFormat="false" ht="22.35" hidden="false" customHeight="false" outlineLevel="0" collapsed="false">
      <c r="A238" s="6" t="s">
        <v>1959</v>
      </c>
      <c r="B238" s="6" t="s">
        <v>1841</v>
      </c>
      <c r="C238" s="6" t="s">
        <v>1817</v>
      </c>
      <c r="D238" s="6" t="s">
        <v>1960</v>
      </c>
      <c r="E238" s="6" t="s">
        <v>1961</v>
      </c>
      <c r="F238" s="6" t="s">
        <v>115</v>
      </c>
      <c r="G238" s="6" t="s">
        <v>1962</v>
      </c>
      <c r="H238" s="6" t="s">
        <v>1963</v>
      </c>
      <c r="I238" s="6" t="s">
        <v>1964</v>
      </c>
      <c r="J238" s="6" t="s">
        <v>1965</v>
      </c>
      <c r="K238" s="6" t="s">
        <v>1841</v>
      </c>
      <c r="L238" s="6" t="s">
        <v>1966</v>
      </c>
      <c r="M238" s="6" t="s">
        <v>115</v>
      </c>
      <c r="N238" s="6" t="s">
        <v>1967</v>
      </c>
      <c r="O238" s="6"/>
      <c r="P238" s="6" t="s">
        <v>85</v>
      </c>
      <c r="Q238" s="7" t="n">
        <f aca="false">IFERROR(INDEX(Wastage_Factors!$B$2:$B$60,MATCH(P238,Wastage_Factors!$A$2:$A$60,0)),0)</f>
        <v>0</v>
      </c>
      <c r="R238" s="6" t="s">
        <v>244</v>
      </c>
      <c r="S238" s="6" t="s">
        <v>99</v>
      </c>
      <c r="T238" s="6" t="s">
        <v>109</v>
      </c>
      <c r="U238" s="6" t="s">
        <v>1923</v>
      </c>
      <c r="V238" s="6"/>
    </row>
    <row r="239" customFormat="false" ht="15" hidden="false" customHeight="false" outlineLevel="0" collapsed="false">
      <c r="A239" s="6" t="s">
        <v>1968</v>
      </c>
      <c r="B239" s="6" t="s">
        <v>1841</v>
      </c>
      <c r="C239" s="6" t="s">
        <v>1817</v>
      </c>
      <c r="D239" s="6" t="s">
        <v>1969</v>
      </c>
      <c r="E239" s="6" t="s">
        <v>1970</v>
      </c>
      <c r="F239" s="6" t="s">
        <v>115</v>
      </c>
      <c r="G239" s="6" t="s">
        <v>1971</v>
      </c>
      <c r="H239" s="6" t="s">
        <v>1972</v>
      </c>
      <c r="I239" s="6" t="s">
        <v>1973</v>
      </c>
      <c r="J239" s="6"/>
      <c r="K239" s="6" t="s">
        <v>1841</v>
      </c>
      <c r="L239" s="6" t="s">
        <v>1974</v>
      </c>
      <c r="M239" s="6" t="s">
        <v>115</v>
      </c>
      <c r="N239" s="6" t="s">
        <v>1975</v>
      </c>
      <c r="O239" s="6"/>
      <c r="P239" s="6" t="s">
        <v>85</v>
      </c>
      <c r="Q239" s="7" t="n">
        <f aca="false">IFERROR(INDEX(Wastage_Factors!$B$2:$B$60,MATCH(P239,Wastage_Factors!$A$2:$A$60,0)),0)</f>
        <v>0</v>
      </c>
      <c r="R239" s="6" t="s">
        <v>244</v>
      </c>
      <c r="S239" s="6" t="s">
        <v>99</v>
      </c>
      <c r="T239" s="6" t="s">
        <v>1169</v>
      </c>
      <c r="U239" s="6" t="s">
        <v>1923</v>
      </c>
      <c r="V239" s="6"/>
    </row>
    <row r="240" customFormat="false" ht="22.35" hidden="false" customHeight="false" outlineLevel="0" collapsed="false">
      <c r="A240" s="6" t="s">
        <v>1976</v>
      </c>
      <c r="B240" s="6" t="s">
        <v>1841</v>
      </c>
      <c r="C240" s="6" t="s">
        <v>1817</v>
      </c>
      <c r="D240" s="6" t="s">
        <v>1977</v>
      </c>
      <c r="E240" s="6" t="s">
        <v>1978</v>
      </c>
      <c r="F240" s="6" t="s">
        <v>115</v>
      </c>
      <c r="G240" s="6" t="s">
        <v>1979</v>
      </c>
      <c r="H240" s="6" t="s">
        <v>1954</v>
      </c>
      <c r="I240" s="6" t="s">
        <v>1973</v>
      </c>
      <c r="J240" s="6" t="s">
        <v>1980</v>
      </c>
      <c r="K240" s="6" t="s">
        <v>1841</v>
      </c>
      <c r="L240" s="6" t="s">
        <v>1981</v>
      </c>
      <c r="M240" s="6" t="s">
        <v>115</v>
      </c>
      <c r="N240" s="6" t="s">
        <v>149</v>
      </c>
      <c r="O240" s="6" t="s">
        <v>1957</v>
      </c>
      <c r="P240" s="6" t="s">
        <v>85</v>
      </c>
      <c r="Q240" s="7" t="n">
        <f aca="false">IFERROR(INDEX(Wastage_Factors!$B$2:$B$60,MATCH(P240,Wastage_Factors!$A$2:$A$60,0)),0)</f>
        <v>0</v>
      </c>
      <c r="R240" s="6" t="s">
        <v>244</v>
      </c>
      <c r="S240" s="6" t="s">
        <v>122</v>
      </c>
      <c r="T240" s="6" t="s">
        <v>88</v>
      </c>
      <c r="U240" s="6" t="s">
        <v>83</v>
      </c>
      <c r="V240" s="6"/>
    </row>
    <row r="241" customFormat="false" ht="22.35" hidden="false" customHeight="false" outlineLevel="0" collapsed="false">
      <c r="A241" s="6" t="s">
        <v>1982</v>
      </c>
      <c r="B241" s="6" t="s">
        <v>1841</v>
      </c>
      <c r="C241" s="6" t="s">
        <v>1983</v>
      </c>
      <c r="D241" s="6" t="s">
        <v>1984</v>
      </c>
      <c r="E241" s="6" t="s">
        <v>1985</v>
      </c>
      <c r="F241" s="6" t="s">
        <v>115</v>
      </c>
      <c r="G241" s="6" t="s">
        <v>1986</v>
      </c>
      <c r="H241" s="6" t="s">
        <v>1987</v>
      </c>
      <c r="I241" s="6" t="s">
        <v>1988</v>
      </c>
      <c r="J241" s="6"/>
      <c r="K241" s="6" t="s">
        <v>1841</v>
      </c>
      <c r="L241" s="6" t="s">
        <v>83</v>
      </c>
      <c r="M241" s="6" t="s">
        <v>115</v>
      </c>
      <c r="N241" s="6" t="s">
        <v>1066</v>
      </c>
      <c r="O241" s="6"/>
      <c r="P241" s="6" t="s">
        <v>85</v>
      </c>
      <c r="Q241" s="7" t="n">
        <f aca="false">IFERROR(INDEX(Wastage_Factors!$B$2:$B$60,MATCH(P241,Wastage_Factors!$A$2:$A$60,0)),0)</f>
        <v>0</v>
      </c>
      <c r="R241" s="6" t="s">
        <v>244</v>
      </c>
      <c r="S241" s="6" t="s">
        <v>122</v>
      </c>
      <c r="T241" s="6" t="s">
        <v>88</v>
      </c>
      <c r="U241" s="6" t="s">
        <v>83</v>
      </c>
      <c r="V241" s="6"/>
    </row>
    <row r="242" customFormat="false" ht="15" hidden="false" customHeight="false" outlineLevel="0" collapsed="false">
      <c r="A242" s="6" t="s">
        <v>1989</v>
      </c>
      <c r="B242" s="6" t="s">
        <v>1841</v>
      </c>
      <c r="C242" s="6" t="s">
        <v>1817</v>
      </c>
      <c r="D242" s="6" t="s">
        <v>1990</v>
      </c>
      <c r="E242" s="6" t="s">
        <v>1991</v>
      </c>
      <c r="F242" s="6" t="s">
        <v>115</v>
      </c>
      <c r="G242" s="6" t="s">
        <v>1986</v>
      </c>
      <c r="H242" s="6" t="s">
        <v>1992</v>
      </c>
      <c r="I242" s="6" t="s">
        <v>83</v>
      </c>
      <c r="J242" s="6"/>
      <c r="K242" s="6" t="s">
        <v>1841</v>
      </c>
      <c r="L242" s="6" t="s">
        <v>1993</v>
      </c>
      <c r="M242" s="6" t="s">
        <v>115</v>
      </c>
      <c r="N242" s="6" t="s">
        <v>1994</v>
      </c>
      <c r="O242" s="6"/>
      <c r="P242" s="6" t="s">
        <v>85</v>
      </c>
      <c r="Q242" s="7" t="n">
        <f aca="false">IFERROR(INDEX(Wastage_Factors!$B$2:$B$60,MATCH(P242,Wastage_Factors!$A$2:$A$60,0)),0)</f>
        <v>0</v>
      </c>
      <c r="R242" s="6" t="s">
        <v>244</v>
      </c>
      <c r="S242" s="6" t="s">
        <v>87</v>
      </c>
      <c r="T242" s="6" t="s">
        <v>88</v>
      </c>
      <c r="U242" s="6" t="s">
        <v>83</v>
      </c>
      <c r="V242" s="6"/>
    </row>
    <row r="243" customFormat="false" ht="22.35" hidden="false" customHeight="false" outlineLevel="0" collapsed="false">
      <c r="A243" s="6" t="s">
        <v>1995</v>
      </c>
      <c r="B243" s="6" t="s">
        <v>1841</v>
      </c>
      <c r="C243" s="6" t="s">
        <v>334</v>
      </c>
      <c r="D243" s="6" t="s">
        <v>1996</v>
      </c>
      <c r="E243" s="6" t="s">
        <v>1997</v>
      </c>
      <c r="F243" s="6" t="s">
        <v>115</v>
      </c>
      <c r="G243" s="6" t="s">
        <v>1998</v>
      </c>
      <c r="H243" s="6" t="s">
        <v>1887</v>
      </c>
      <c r="I243" s="6" t="s">
        <v>1888</v>
      </c>
      <c r="J243" s="6" t="s">
        <v>1999</v>
      </c>
      <c r="K243" s="6" t="s">
        <v>1841</v>
      </c>
      <c r="L243" s="6" t="s">
        <v>2000</v>
      </c>
      <c r="M243" s="6" t="s">
        <v>115</v>
      </c>
      <c r="N243" s="6" t="s">
        <v>149</v>
      </c>
      <c r="O243" s="6" t="s">
        <v>1891</v>
      </c>
      <c r="P243" s="6" t="s">
        <v>85</v>
      </c>
      <c r="Q243" s="7" t="n">
        <f aca="false">IFERROR(INDEX(Wastage_Factors!$B$2:$B$60,MATCH(P243,Wastage_Factors!$A$2:$A$60,0)),0)</f>
        <v>0</v>
      </c>
      <c r="R243" s="6" t="s">
        <v>1218</v>
      </c>
      <c r="S243" s="6" t="s">
        <v>99</v>
      </c>
      <c r="T243" s="6" t="s">
        <v>1169</v>
      </c>
      <c r="U243" s="6" t="s">
        <v>2001</v>
      </c>
      <c r="V243" s="6" t="s">
        <v>1854</v>
      </c>
    </row>
    <row r="244" customFormat="false" ht="22.35" hidden="false" customHeight="false" outlineLevel="0" collapsed="false">
      <c r="A244" s="6" t="s">
        <v>2002</v>
      </c>
      <c r="B244" s="6" t="s">
        <v>1841</v>
      </c>
      <c r="C244" s="6" t="s">
        <v>334</v>
      </c>
      <c r="D244" s="6" t="s">
        <v>2003</v>
      </c>
      <c r="E244" s="6" t="s">
        <v>2004</v>
      </c>
      <c r="F244" s="6" t="s">
        <v>115</v>
      </c>
      <c r="G244" s="6" t="s">
        <v>2005</v>
      </c>
      <c r="H244" s="6" t="s">
        <v>2006</v>
      </c>
      <c r="I244" s="6" t="s">
        <v>2007</v>
      </c>
      <c r="J244" s="6"/>
      <c r="K244" s="6" t="s">
        <v>1841</v>
      </c>
      <c r="L244" s="6" t="s">
        <v>2004</v>
      </c>
      <c r="M244" s="6" t="s">
        <v>115</v>
      </c>
      <c r="N244" s="6" t="s">
        <v>149</v>
      </c>
      <c r="O244" s="6" t="s">
        <v>2008</v>
      </c>
      <c r="P244" s="6" t="s">
        <v>85</v>
      </c>
      <c r="Q244" s="7" t="n">
        <f aca="false">IFERROR(INDEX(Wastage_Factors!$B$2:$B$60,MATCH(P244,Wastage_Factors!$A$2:$A$60,0)),0)</f>
        <v>0</v>
      </c>
      <c r="R244" s="6" t="s">
        <v>1218</v>
      </c>
      <c r="S244" s="6" t="s">
        <v>99</v>
      </c>
      <c r="T244" s="6" t="s">
        <v>1169</v>
      </c>
      <c r="U244" s="6" t="s">
        <v>2009</v>
      </c>
      <c r="V244" s="6" t="s">
        <v>1854</v>
      </c>
    </row>
    <row r="245" customFormat="false" ht="22.35" hidden="false" customHeight="false" outlineLevel="0" collapsed="false">
      <c r="A245" s="6" t="s">
        <v>2010</v>
      </c>
      <c r="B245" s="6" t="s">
        <v>1841</v>
      </c>
      <c r="C245" s="6" t="s">
        <v>334</v>
      </c>
      <c r="D245" s="6" t="s">
        <v>2011</v>
      </c>
      <c r="E245" s="6" t="s">
        <v>2012</v>
      </c>
      <c r="F245" s="6" t="s">
        <v>115</v>
      </c>
      <c r="G245" s="6" t="s">
        <v>2013</v>
      </c>
      <c r="H245" s="6" t="s">
        <v>2014</v>
      </c>
      <c r="I245" s="6" t="s">
        <v>2015</v>
      </c>
      <c r="J245" s="6"/>
      <c r="K245" s="6" t="s">
        <v>1841</v>
      </c>
      <c r="L245" s="6" t="s">
        <v>83</v>
      </c>
      <c r="M245" s="6" t="s">
        <v>115</v>
      </c>
      <c r="N245" s="6" t="s">
        <v>149</v>
      </c>
      <c r="O245" s="6" t="s">
        <v>2016</v>
      </c>
      <c r="P245" s="6" t="s">
        <v>85</v>
      </c>
      <c r="Q245" s="7" t="n">
        <f aca="false">IFERROR(INDEX(Wastage_Factors!$B$2:$B$60,MATCH(P245,Wastage_Factors!$A$2:$A$60,0)),0)</f>
        <v>0</v>
      </c>
      <c r="R245" s="6" t="s">
        <v>1218</v>
      </c>
      <c r="S245" s="6" t="s">
        <v>99</v>
      </c>
      <c r="T245" s="6" t="s">
        <v>1169</v>
      </c>
      <c r="U245" s="6" t="s">
        <v>2009</v>
      </c>
      <c r="V245" s="6" t="s">
        <v>1854</v>
      </c>
    </row>
    <row r="246" customFormat="false" ht="22.35" hidden="false" customHeight="false" outlineLevel="0" collapsed="false">
      <c r="A246" s="6" t="s">
        <v>2017</v>
      </c>
      <c r="B246" s="6" t="s">
        <v>1841</v>
      </c>
      <c r="C246" s="6" t="s">
        <v>334</v>
      </c>
      <c r="D246" s="6" t="s">
        <v>2018</v>
      </c>
      <c r="E246" s="6" t="s">
        <v>2019</v>
      </c>
      <c r="F246" s="6" t="s">
        <v>115</v>
      </c>
      <c r="G246" s="6" t="s">
        <v>2020</v>
      </c>
      <c r="H246" s="6" t="s">
        <v>1903</v>
      </c>
      <c r="I246" s="6" t="s">
        <v>2021</v>
      </c>
      <c r="J246" s="6"/>
      <c r="K246" s="6" t="s">
        <v>1841</v>
      </c>
      <c r="L246" s="6" t="s">
        <v>83</v>
      </c>
      <c r="M246" s="6" t="s">
        <v>115</v>
      </c>
      <c r="N246" s="6" t="s">
        <v>149</v>
      </c>
      <c r="O246" s="6" t="s">
        <v>1905</v>
      </c>
      <c r="P246" s="6" t="s">
        <v>85</v>
      </c>
      <c r="Q246" s="7" t="n">
        <f aca="false">IFERROR(INDEX(Wastage_Factors!$B$2:$B$60,MATCH(P246,Wastage_Factors!$A$2:$A$60,0)),0)</f>
        <v>0</v>
      </c>
      <c r="R246" s="6" t="s">
        <v>1218</v>
      </c>
      <c r="S246" s="6" t="s">
        <v>99</v>
      </c>
      <c r="T246" s="6" t="s">
        <v>1169</v>
      </c>
      <c r="U246" s="6" t="s">
        <v>2009</v>
      </c>
      <c r="V246" s="6" t="s">
        <v>1854</v>
      </c>
    </row>
    <row r="247" customFormat="false" ht="15" hidden="false" customHeight="false" outlineLevel="0" collapsed="false">
      <c r="A247" s="6" t="s">
        <v>2022</v>
      </c>
      <c r="B247" s="6" t="s">
        <v>1841</v>
      </c>
      <c r="C247" s="6" t="s">
        <v>334</v>
      </c>
      <c r="D247" s="6" t="s">
        <v>2023</v>
      </c>
      <c r="E247" s="6" t="s">
        <v>2024</v>
      </c>
      <c r="F247" s="6" t="s">
        <v>115</v>
      </c>
      <c r="G247" s="6" t="s">
        <v>2025</v>
      </c>
      <c r="H247" s="6" t="s">
        <v>2026</v>
      </c>
      <c r="I247" s="6" t="s">
        <v>2027</v>
      </c>
      <c r="J247" s="6"/>
      <c r="K247" s="6" t="s">
        <v>1841</v>
      </c>
      <c r="L247" s="6" t="s">
        <v>83</v>
      </c>
      <c r="M247" s="6" t="s">
        <v>115</v>
      </c>
      <c r="N247" s="6" t="s">
        <v>2028</v>
      </c>
      <c r="O247" s="6"/>
      <c r="P247" s="6" t="s">
        <v>85</v>
      </c>
      <c r="Q247" s="7" t="n">
        <f aca="false">IFERROR(INDEX(Wastage_Factors!$B$2:$B$60,MATCH(P247,Wastage_Factors!$A$2:$A$60,0)),0)</f>
        <v>0</v>
      </c>
      <c r="R247" s="6" t="s">
        <v>1218</v>
      </c>
      <c r="S247" s="6" t="s">
        <v>99</v>
      </c>
      <c r="T247" s="6" t="s">
        <v>1169</v>
      </c>
      <c r="U247" s="6" t="s">
        <v>2009</v>
      </c>
      <c r="V247" s="6"/>
    </row>
    <row r="248" customFormat="false" ht="15" hidden="false" customHeight="false" outlineLevel="0" collapsed="false">
      <c r="A248" s="6" t="s">
        <v>2029</v>
      </c>
      <c r="B248" s="6" t="s">
        <v>1841</v>
      </c>
      <c r="C248" s="6" t="s">
        <v>334</v>
      </c>
      <c r="D248" s="6" t="s">
        <v>2030</v>
      </c>
      <c r="E248" s="6" t="s">
        <v>83</v>
      </c>
      <c r="F248" s="6" t="s">
        <v>115</v>
      </c>
      <c r="G248" s="6" t="s">
        <v>2031</v>
      </c>
      <c r="H248" s="6" t="s">
        <v>2032</v>
      </c>
      <c r="I248" s="6" t="s">
        <v>2033</v>
      </c>
      <c r="J248" s="6"/>
      <c r="K248" s="6" t="s">
        <v>1841</v>
      </c>
      <c r="L248" s="6" t="s">
        <v>83</v>
      </c>
      <c r="M248" s="6" t="s">
        <v>115</v>
      </c>
      <c r="N248" s="6" t="s">
        <v>2028</v>
      </c>
      <c r="O248" s="6"/>
      <c r="P248" s="6" t="s">
        <v>85</v>
      </c>
      <c r="Q248" s="7" t="n">
        <f aca="false">IFERROR(INDEX(Wastage_Factors!$B$2:$B$60,MATCH(P248,Wastage_Factors!$A$2:$A$60,0)),0)</f>
        <v>0</v>
      </c>
      <c r="R248" s="6" t="s">
        <v>1218</v>
      </c>
      <c r="S248" s="6" t="s">
        <v>99</v>
      </c>
      <c r="T248" s="6" t="s">
        <v>1169</v>
      </c>
      <c r="U248" s="6" t="s">
        <v>2009</v>
      </c>
      <c r="V248" s="6"/>
    </row>
    <row r="249" customFormat="false" ht="22.35" hidden="false" customHeight="false" outlineLevel="0" collapsed="false">
      <c r="A249" s="6" t="s">
        <v>2034</v>
      </c>
      <c r="B249" s="6" t="s">
        <v>1841</v>
      </c>
      <c r="C249" s="6" t="s">
        <v>334</v>
      </c>
      <c r="D249" s="6" t="s">
        <v>2035</v>
      </c>
      <c r="E249" s="6" t="s">
        <v>83</v>
      </c>
      <c r="F249" s="6" t="s">
        <v>115</v>
      </c>
      <c r="G249" s="6" t="s">
        <v>2036</v>
      </c>
      <c r="H249" s="6" t="s">
        <v>2037</v>
      </c>
      <c r="I249" s="6" t="s">
        <v>2038</v>
      </c>
      <c r="J249" s="6"/>
      <c r="K249" s="6" t="s">
        <v>1841</v>
      </c>
      <c r="L249" s="6" t="s">
        <v>83</v>
      </c>
      <c r="M249" s="6" t="s">
        <v>115</v>
      </c>
      <c r="N249" s="6" t="s">
        <v>149</v>
      </c>
      <c r="O249" s="6" t="s">
        <v>2039</v>
      </c>
      <c r="P249" s="6" t="s">
        <v>85</v>
      </c>
      <c r="Q249" s="7" t="n">
        <f aca="false">IFERROR(INDEX(Wastage_Factors!$B$2:$B$60,MATCH(P249,Wastage_Factors!$A$2:$A$60,0)),0)</f>
        <v>0</v>
      </c>
      <c r="R249" s="6" t="s">
        <v>1218</v>
      </c>
      <c r="S249" s="6" t="s">
        <v>99</v>
      </c>
      <c r="T249" s="6" t="s">
        <v>1169</v>
      </c>
      <c r="U249" s="6" t="s">
        <v>2009</v>
      </c>
      <c r="V249" s="6" t="s">
        <v>1854</v>
      </c>
    </row>
    <row r="250" customFormat="false" ht="15" hidden="false" customHeight="false" outlineLevel="0" collapsed="false">
      <c r="A250" s="6" t="s">
        <v>2040</v>
      </c>
      <c r="B250" s="6" t="s">
        <v>1841</v>
      </c>
      <c r="C250" s="6" t="s">
        <v>334</v>
      </c>
      <c r="D250" s="6" t="s">
        <v>2041</v>
      </c>
      <c r="E250" s="6" t="s">
        <v>83</v>
      </c>
      <c r="F250" s="6" t="s">
        <v>115</v>
      </c>
      <c r="G250" s="6" t="s">
        <v>2042</v>
      </c>
      <c r="H250" s="6" t="s">
        <v>2043</v>
      </c>
      <c r="I250" s="6" t="s">
        <v>83</v>
      </c>
      <c r="J250" s="6"/>
      <c r="K250" s="6" t="s">
        <v>1841</v>
      </c>
      <c r="L250" s="6" t="s">
        <v>83</v>
      </c>
      <c r="M250" s="6" t="s">
        <v>115</v>
      </c>
      <c r="N250" s="6" t="s">
        <v>1066</v>
      </c>
      <c r="O250" s="6"/>
      <c r="P250" s="6" t="s">
        <v>85</v>
      </c>
      <c r="Q250" s="7" t="n">
        <f aca="false">IFERROR(INDEX(Wastage_Factors!$B$2:$B$60,MATCH(P250,Wastage_Factors!$A$2:$A$60,0)),0)</f>
        <v>0</v>
      </c>
      <c r="R250" s="6" t="s">
        <v>1218</v>
      </c>
      <c r="S250" s="6" t="s">
        <v>99</v>
      </c>
      <c r="T250" s="6" t="s">
        <v>88</v>
      </c>
      <c r="U250" s="6" t="s">
        <v>83</v>
      </c>
      <c r="V250" s="6"/>
    </row>
    <row r="251" customFormat="false" ht="22.35" hidden="false" customHeight="false" outlineLevel="0" collapsed="false">
      <c r="A251" s="6" t="s">
        <v>2044</v>
      </c>
      <c r="B251" s="6" t="s">
        <v>1841</v>
      </c>
      <c r="C251" s="6" t="s">
        <v>2045</v>
      </c>
      <c r="D251" s="6" t="s">
        <v>2046</v>
      </c>
      <c r="E251" s="6" t="s">
        <v>2047</v>
      </c>
      <c r="F251" s="6" t="s">
        <v>1885</v>
      </c>
      <c r="G251" s="6" t="s">
        <v>2048</v>
      </c>
      <c r="H251" s="6" t="s">
        <v>2049</v>
      </c>
      <c r="I251" s="6" t="s">
        <v>2050</v>
      </c>
      <c r="J251" s="6"/>
      <c r="K251" s="6" t="s">
        <v>1841</v>
      </c>
      <c r="L251" s="6" t="s">
        <v>83</v>
      </c>
      <c r="M251" s="6" t="s">
        <v>1885</v>
      </c>
      <c r="N251" s="6" t="s">
        <v>149</v>
      </c>
      <c r="O251" s="6" t="s">
        <v>2051</v>
      </c>
      <c r="P251" s="6" t="s">
        <v>1892</v>
      </c>
      <c r="Q251" s="7" t="n">
        <f aca="false">IFERROR(INDEX(Wastage_Factors!$B$2:$B$60,MATCH(P251,Wastage_Factors!$A$2:$A$60,0)),0)</f>
        <v>0.1</v>
      </c>
      <c r="R251" s="6" t="s">
        <v>244</v>
      </c>
      <c r="S251" s="6" t="s">
        <v>99</v>
      </c>
      <c r="T251" s="6" t="s">
        <v>1169</v>
      </c>
      <c r="U251" s="6" t="s">
        <v>2009</v>
      </c>
      <c r="V251" s="6"/>
    </row>
    <row r="252" customFormat="false" ht="15" hidden="false" customHeight="false" outlineLevel="0" collapsed="false">
      <c r="A252" s="6" t="s">
        <v>2052</v>
      </c>
      <c r="B252" s="6" t="s">
        <v>1841</v>
      </c>
      <c r="C252" s="6" t="s">
        <v>2045</v>
      </c>
      <c r="D252" s="6" t="s">
        <v>2053</v>
      </c>
      <c r="E252" s="6" t="s">
        <v>2054</v>
      </c>
      <c r="F252" s="6" t="s">
        <v>1885</v>
      </c>
      <c r="G252" s="6" t="s">
        <v>2055</v>
      </c>
      <c r="H252" s="6" t="s">
        <v>2056</v>
      </c>
      <c r="I252" s="6" t="s">
        <v>2057</v>
      </c>
      <c r="J252" s="6" t="s">
        <v>2058</v>
      </c>
      <c r="K252" s="6" t="s">
        <v>1841</v>
      </c>
      <c r="L252" s="6" t="s">
        <v>2059</v>
      </c>
      <c r="M252" s="6" t="s">
        <v>1885</v>
      </c>
      <c r="N252" s="6" t="s">
        <v>2060</v>
      </c>
      <c r="O252" s="6"/>
      <c r="P252" s="6" t="s">
        <v>1892</v>
      </c>
      <c r="Q252" s="7" t="n">
        <f aca="false">IFERROR(INDEX(Wastage_Factors!$B$2:$B$60,MATCH(P252,Wastage_Factors!$A$2:$A$60,0)),0)</f>
        <v>0.1</v>
      </c>
      <c r="R252" s="6" t="s">
        <v>244</v>
      </c>
      <c r="S252" s="6" t="s">
        <v>99</v>
      </c>
      <c r="T252" s="6" t="s">
        <v>1169</v>
      </c>
      <c r="U252" s="6" t="s">
        <v>2009</v>
      </c>
      <c r="V252" s="6"/>
    </row>
    <row r="253" customFormat="false" ht="15" hidden="false" customHeight="false" outlineLevel="0" collapsed="false">
      <c r="A253" s="6" t="s">
        <v>2061</v>
      </c>
      <c r="B253" s="6" t="s">
        <v>1841</v>
      </c>
      <c r="C253" s="6" t="s">
        <v>2045</v>
      </c>
      <c r="D253" s="6" t="s">
        <v>2062</v>
      </c>
      <c r="E253" s="6" t="s">
        <v>2063</v>
      </c>
      <c r="F253" s="6" t="s">
        <v>932</v>
      </c>
      <c r="G253" s="6" t="s">
        <v>2064</v>
      </c>
      <c r="H253" s="6" t="s">
        <v>2065</v>
      </c>
      <c r="I253" s="6" t="s">
        <v>2033</v>
      </c>
      <c r="J253" s="6"/>
      <c r="K253" s="6" t="s">
        <v>1841</v>
      </c>
      <c r="L253" s="6" t="s">
        <v>83</v>
      </c>
      <c r="M253" s="6" t="s">
        <v>932</v>
      </c>
      <c r="N253" s="6" t="s">
        <v>2028</v>
      </c>
      <c r="O253" s="6"/>
      <c r="P253" s="6" t="s">
        <v>85</v>
      </c>
      <c r="Q253" s="7" t="n">
        <f aca="false">IFERROR(INDEX(Wastage_Factors!$B$2:$B$60,MATCH(P253,Wastage_Factors!$A$2:$A$60,0)),0)</f>
        <v>0</v>
      </c>
      <c r="R253" s="6" t="s">
        <v>1218</v>
      </c>
      <c r="S253" s="6" t="s">
        <v>99</v>
      </c>
      <c r="T253" s="6" t="s">
        <v>1169</v>
      </c>
      <c r="U253" s="6" t="s">
        <v>2009</v>
      </c>
      <c r="V253" s="6"/>
    </row>
    <row r="254" customFormat="false" ht="22.35" hidden="false" customHeight="false" outlineLevel="0" collapsed="false">
      <c r="A254" s="6" t="s">
        <v>2066</v>
      </c>
      <c r="B254" s="6" t="s">
        <v>1841</v>
      </c>
      <c r="C254" s="6" t="s">
        <v>2045</v>
      </c>
      <c r="D254" s="6" t="s">
        <v>2067</v>
      </c>
      <c r="E254" s="6" t="s">
        <v>2068</v>
      </c>
      <c r="F254" s="6" t="s">
        <v>115</v>
      </c>
      <c r="G254" s="6" t="s">
        <v>988</v>
      </c>
      <c r="H254" s="6" t="s">
        <v>2069</v>
      </c>
      <c r="I254" s="6" t="s">
        <v>2070</v>
      </c>
      <c r="J254" s="6"/>
      <c r="K254" s="6" t="s">
        <v>1841</v>
      </c>
      <c r="L254" s="6" t="s">
        <v>83</v>
      </c>
      <c r="M254" s="6" t="s">
        <v>115</v>
      </c>
      <c r="N254" s="6" t="s">
        <v>1066</v>
      </c>
      <c r="O254" s="6"/>
      <c r="P254" s="6" t="s">
        <v>85</v>
      </c>
      <c r="Q254" s="7" t="n">
        <f aca="false">IFERROR(INDEX(Wastage_Factors!$B$2:$B$60,MATCH(P254,Wastage_Factors!$A$2:$A$60,0)),0)</f>
        <v>0</v>
      </c>
      <c r="R254" s="6" t="s">
        <v>244</v>
      </c>
      <c r="S254" s="6" t="s">
        <v>87</v>
      </c>
      <c r="T254" s="6" t="s">
        <v>88</v>
      </c>
      <c r="U254" s="6" t="s">
        <v>83</v>
      </c>
      <c r="V254" s="6"/>
    </row>
    <row r="255" customFormat="false" ht="15" hidden="false" customHeight="false" outlineLevel="0" collapsed="false">
      <c r="A255" s="6" t="s">
        <v>2071</v>
      </c>
      <c r="B255" s="6" t="s">
        <v>1841</v>
      </c>
      <c r="C255" s="6" t="s">
        <v>2072</v>
      </c>
      <c r="D255" s="6" t="s">
        <v>2073</v>
      </c>
      <c r="E255" s="6" t="s">
        <v>2074</v>
      </c>
      <c r="F255" s="6" t="s">
        <v>115</v>
      </c>
      <c r="G255" s="6" t="s">
        <v>2075</v>
      </c>
      <c r="H255" s="6" t="s">
        <v>2076</v>
      </c>
      <c r="I255" s="6" t="s">
        <v>2033</v>
      </c>
      <c r="J255" s="6" t="s">
        <v>2077</v>
      </c>
      <c r="K255" s="6" t="s">
        <v>1841</v>
      </c>
      <c r="L255" s="6" t="s">
        <v>83</v>
      </c>
      <c r="M255" s="6" t="s">
        <v>115</v>
      </c>
      <c r="N255" s="6" t="s">
        <v>2028</v>
      </c>
      <c r="O255" s="6"/>
      <c r="P255" s="6" t="s">
        <v>85</v>
      </c>
      <c r="Q255" s="7" t="n">
        <f aca="false">IFERROR(INDEX(Wastage_Factors!$B$2:$B$60,MATCH(P255,Wastage_Factors!$A$2:$A$60,0)),0)</f>
        <v>0</v>
      </c>
      <c r="R255" s="6" t="s">
        <v>1218</v>
      </c>
      <c r="S255" s="6" t="s">
        <v>99</v>
      </c>
      <c r="T255" s="6" t="s">
        <v>1169</v>
      </c>
      <c r="U255" s="6" t="s">
        <v>2009</v>
      </c>
      <c r="V255" s="6"/>
    </row>
    <row r="256" customFormat="false" ht="15" hidden="false" customHeight="false" outlineLevel="0" collapsed="false">
      <c r="A256" s="6" t="s">
        <v>2078</v>
      </c>
      <c r="B256" s="6" t="s">
        <v>1841</v>
      </c>
      <c r="C256" s="6" t="s">
        <v>2072</v>
      </c>
      <c r="D256" s="6" t="s">
        <v>2079</v>
      </c>
      <c r="E256" s="6" t="s">
        <v>2080</v>
      </c>
      <c r="F256" s="6" t="s">
        <v>115</v>
      </c>
      <c r="G256" s="6" t="s">
        <v>2081</v>
      </c>
      <c r="H256" s="6" t="s">
        <v>2082</v>
      </c>
      <c r="I256" s="6" t="s">
        <v>2033</v>
      </c>
      <c r="J256" s="6"/>
      <c r="K256" s="6" t="s">
        <v>1841</v>
      </c>
      <c r="L256" s="6" t="s">
        <v>83</v>
      </c>
      <c r="M256" s="6" t="s">
        <v>115</v>
      </c>
      <c r="N256" s="6" t="s">
        <v>2028</v>
      </c>
      <c r="O256" s="6"/>
      <c r="P256" s="6" t="s">
        <v>85</v>
      </c>
      <c r="Q256" s="7" t="n">
        <f aca="false">IFERROR(INDEX(Wastage_Factors!$B$2:$B$60,MATCH(P256,Wastage_Factors!$A$2:$A$60,0)),0)</f>
        <v>0</v>
      </c>
      <c r="R256" s="6" t="s">
        <v>1218</v>
      </c>
      <c r="S256" s="6" t="s">
        <v>99</v>
      </c>
      <c r="T256" s="6" t="s">
        <v>1169</v>
      </c>
      <c r="U256" s="6" t="s">
        <v>2009</v>
      </c>
      <c r="V256" s="6"/>
    </row>
    <row r="257" customFormat="false" ht="22.35" hidden="false" customHeight="false" outlineLevel="0" collapsed="false">
      <c r="A257" s="6" t="s">
        <v>2083</v>
      </c>
      <c r="B257" s="6" t="s">
        <v>1841</v>
      </c>
      <c r="C257" s="6" t="s">
        <v>2072</v>
      </c>
      <c r="D257" s="6" t="s">
        <v>2084</v>
      </c>
      <c r="E257" s="6" t="s">
        <v>2085</v>
      </c>
      <c r="F257" s="6" t="s">
        <v>115</v>
      </c>
      <c r="G257" s="6" t="s">
        <v>2086</v>
      </c>
      <c r="H257" s="6" t="s">
        <v>2087</v>
      </c>
      <c r="I257" s="6" t="s">
        <v>2033</v>
      </c>
      <c r="J257" s="6" t="s">
        <v>2088</v>
      </c>
      <c r="K257" s="6" t="s">
        <v>1841</v>
      </c>
      <c r="L257" s="6" t="s">
        <v>83</v>
      </c>
      <c r="M257" s="6" t="s">
        <v>115</v>
      </c>
      <c r="N257" s="6" t="s">
        <v>2028</v>
      </c>
      <c r="O257" s="6"/>
      <c r="P257" s="6" t="s">
        <v>85</v>
      </c>
      <c r="Q257" s="7" t="n">
        <f aca="false">IFERROR(INDEX(Wastage_Factors!$B$2:$B$60,MATCH(P257,Wastage_Factors!$A$2:$A$60,0)),0)</f>
        <v>0</v>
      </c>
      <c r="R257" s="6" t="s">
        <v>1218</v>
      </c>
      <c r="S257" s="6" t="s">
        <v>2089</v>
      </c>
      <c r="T257" s="6" t="s">
        <v>1169</v>
      </c>
      <c r="U257" s="6" t="s">
        <v>2009</v>
      </c>
      <c r="V257" s="6"/>
    </row>
    <row r="258" customFormat="false" ht="15" hidden="false" customHeight="false" outlineLevel="0" collapsed="false">
      <c r="A258" s="6" t="s">
        <v>2090</v>
      </c>
      <c r="B258" s="6" t="s">
        <v>1841</v>
      </c>
      <c r="C258" s="6" t="s">
        <v>2072</v>
      </c>
      <c r="D258" s="6" t="s">
        <v>2091</v>
      </c>
      <c r="E258" s="6" t="s">
        <v>2092</v>
      </c>
      <c r="F258" s="6" t="s">
        <v>115</v>
      </c>
      <c r="G258" s="6" t="s">
        <v>2093</v>
      </c>
      <c r="H258" s="6" t="s">
        <v>2094</v>
      </c>
      <c r="I258" s="6" t="s">
        <v>2033</v>
      </c>
      <c r="J258" s="6"/>
      <c r="K258" s="6" t="s">
        <v>1841</v>
      </c>
      <c r="L258" s="6" t="s">
        <v>83</v>
      </c>
      <c r="M258" s="6" t="s">
        <v>115</v>
      </c>
      <c r="N258" s="6" t="s">
        <v>2028</v>
      </c>
      <c r="O258" s="6"/>
      <c r="P258" s="6" t="s">
        <v>85</v>
      </c>
      <c r="Q258" s="7" t="n">
        <f aca="false">IFERROR(INDEX(Wastage_Factors!$B$2:$B$60,MATCH(P258,Wastage_Factors!$A$2:$A$60,0)),0)</f>
        <v>0</v>
      </c>
      <c r="R258" s="6" t="s">
        <v>1218</v>
      </c>
      <c r="S258" s="6" t="s">
        <v>99</v>
      </c>
      <c r="T258" s="6" t="s">
        <v>1169</v>
      </c>
      <c r="U258" s="6" t="s">
        <v>2009</v>
      </c>
      <c r="V258" s="6"/>
    </row>
    <row r="259" customFormat="false" ht="15" hidden="false" customHeight="false" outlineLevel="0" collapsed="false">
      <c r="A259" s="6" t="s">
        <v>2095</v>
      </c>
      <c r="B259" s="6" t="s">
        <v>1841</v>
      </c>
      <c r="C259" s="6" t="s">
        <v>2096</v>
      </c>
      <c r="D259" s="6" t="s">
        <v>2097</v>
      </c>
      <c r="E259" s="6" t="s">
        <v>2098</v>
      </c>
      <c r="F259" s="6" t="s">
        <v>115</v>
      </c>
      <c r="G259" s="6" t="s">
        <v>2099</v>
      </c>
      <c r="H259" s="6" t="s">
        <v>2100</v>
      </c>
      <c r="I259" s="6" t="s">
        <v>2033</v>
      </c>
      <c r="J259" s="6" t="s">
        <v>2101</v>
      </c>
      <c r="K259" s="6" t="s">
        <v>1841</v>
      </c>
      <c r="L259" s="6" t="s">
        <v>83</v>
      </c>
      <c r="M259" s="6" t="s">
        <v>115</v>
      </c>
      <c r="N259" s="6" t="s">
        <v>2028</v>
      </c>
      <c r="O259" s="6"/>
      <c r="P259" s="6" t="s">
        <v>85</v>
      </c>
      <c r="Q259" s="7" t="n">
        <f aca="false">IFERROR(INDEX(Wastage_Factors!$B$2:$B$60,MATCH(P259,Wastage_Factors!$A$2:$A$60,0)),0)</f>
        <v>0</v>
      </c>
      <c r="R259" s="6" t="s">
        <v>1218</v>
      </c>
      <c r="S259" s="6" t="s">
        <v>99</v>
      </c>
      <c r="T259" s="6" t="s">
        <v>1169</v>
      </c>
      <c r="U259" s="6" t="s">
        <v>2009</v>
      </c>
      <c r="V259" s="6"/>
    </row>
    <row r="260" customFormat="false" ht="15" hidden="false" customHeight="false" outlineLevel="0" collapsed="false">
      <c r="A260" s="6" t="s">
        <v>2102</v>
      </c>
      <c r="B260" s="6" t="s">
        <v>1841</v>
      </c>
      <c r="C260" s="6" t="s">
        <v>2096</v>
      </c>
      <c r="D260" s="6" t="s">
        <v>2103</v>
      </c>
      <c r="E260" s="6" t="s">
        <v>2104</v>
      </c>
      <c r="F260" s="6" t="s">
        <v>115</v>
      </c>
      <c r="G260" s="6" t="s">
        <v>2105</v>
      </c>
      <c r="H260" s="6" t="s">
        <v>2106</v>
      </c>
      <c r="I260" s="6" t="s">
        <v>2038</v>
      </c>
      <c r="J260" s="6" t="s">
        <v>2107</v>
      </c>
      <c r="K260" s="6" t="s">
        <v>1841</v>
      </c>
      <c r="L260" s="6" t="s">
        <v>83</v>
      </c>
      <c r="M260" s="6" t="s">
        <v>115</v>
      </c>
      <c r="N260" s="6" t="s">
        <v>2108</v>
      </c>
      <c r="O260" s="6"/>
      <c r="P260" s="6" t="s">
        <v>85</v>
      </c>
      <c r="Q260" s="7" t="n">
        <f aca="false">IFERROR(INDEX(Wastage_Factors!$B$2:$B$60,MATCH(P260,Wastage_Factors!$A$2:$A$60,0)),0)</f>
        <v>0</v>
      </c>
      <c r="R260" s="6" t="s">
        <v>1305</v>
      </c>
      <c r="S260" s="6" t="s">
        <v>99</v>
      </c>
      <c r="T260" s="6" t="s">
        <v>109</v>
      </c>
      <c r="U260" s="6" t="s">
        <v>83</v>
      </c>
      <c r="V260" s="6"/>
    </row>
    <row r="261" customFormat="false" ht="22.35" hidden="false" customHeight="false" outlineLevel="0" collapsed="false">
      <c r="A261" s="6" t="s">
        <v>2109</v>
      </c>
      <c r="B261" s="6" t="s">
        <v>1841</v>
      </c>
      <c r="C261" s="6" t="s">
        <v>2110</v>
      </c>
      <c r="D261" s="6" t="s">
        <v>2111</v>
      </c>
      <c r="E261" s="6" t="s">
        <v>2112</v>
      </c>
      <c r="F261" s="6" t="s">
        <v>115</v>
      </c>
      <c r="G261" s="6" t="s">
        <v>2113</v>
      </c>
      <c r="H261" s="6" t="s">
        <v>2114</v>
      </c>
      <c r="I261" s="6" t="s">
        <v>83</v>
      </c>
      <c r="J261" s="6" t="s">
        <v>2115</v>
      </c>
      <c r="K261" s="6" t="s">
        <v>1841</v>
      </c>
      <c r="L261" s="6" t="s">
        <v>2116</v>
      </c>
      <c r="M261" s="6" t="s">
        <v>115</v>
      </c>
      <c r="N261" s="6" t="s">
        <v>1066</v>
      </c>
      <c r="O261" s="6"/>
      <c r="P261" s="6" t="s">
        <v>85</v>
      </c>
      <c r="Q261" s="7" t="n">
        <f aca="false">IFERROR(INDEX(Wastage_Factors!$B$2:$B$60,MATCH(P261,Wastage_Factors!$A$2:$A$60,0)),0)</f>
        <v>0</v>
      </c>
      <c r="R261" s="6" t="s">
        <v>202</v>
      </c>
      <c r="S261" s="6" t="s">
        <v>99</v>
      </c>
      <c r="T261" s="6" t="s">
        <v>109</v>
      </c>
      <c r="U261" s="6" t="s">
        <v>1923</v>
      </c>
      <c r="V261" s="6"/>
    </row>
    <row r="262" customFormat="false" ht="22.35" hidden="false" customHeight="false" outlineLevel="0" collapsed="false">
      <c r="A262" s="6" t="s">
        <v>2117</v>
      </c>
      <c r="B262" s="6" t="s">
        <v>1841</v>
      </c>
      <c r="C262" s="6" t="s">
        <v>2118</v>
      </c>
      <c r="D262" s="6" t="s">
        <v>2119</v>
      </c>
      <c r="E262" s="6" t="s">
        <v>83</v>
      </c>
      <c r="F262" s="6" t="s">
        <v>94</v>
      </c>
      <c r="G262" s="6" t="s">
        <v>2120</v>
      </c>
      <c r="H262" s="6" t="s">
        <v>2121</v>
      </c>
      <c r="I262" s="6" t="s">
        <v>83</v>
      </c>
      <c r="J262" s="6"/>
      <c r="K262" s="6" t="s">
        <v>1841</v>
      </c>
      <c r="L262" s="6" t="s">
        <v>83</v>
      </c>
      <c r="M262" s="6" t="s">
        <v>94</v>
      </c>
      <c r="N262" s="6" t="s">
        <v>2122</v>
      </c>
      <c r="O262" s="6"/>
      <c r="P262" s="6" t="s">
        <v>85</v>
      </c>
      <c r="Q262" s="7" t="n">
        <f aca="false">IFERROR(INDEX(Wastage_Factors!$B$2:$B$60,MATCH(P262,Wastage_Factors!$A$2:$A$60,0)),0)</f>
        <v>0</v>
      </c>
      <c r="R262" s="6" t="s">
        <v>244</v>
      </c>
      <c r="S262" s="6" t="s">
        <v>99</v>
      </c>
      <c r="T262" s="6" t="s">
        <v>88</v>
      </c>
      <c r="U262" s="6" t="s">
        <v>83</v>
      </c>
      <c r="V262" s="6"/>
    </row>
    <row r="263" customFormat="false" ht="22.35" hidden="false" customHeight="false" outlineLevel="0" collapsed="false">
      <c r="A263" s="6" t="s">
        <v>2123</v>
      </c>
      <c r="B263" s="6" t="s">
        <v>1841</v>
      </c>
      <c r="C263" s="6" t="s">
        <v>1817</v>
      </c>
      <c r="D263" s="6" t="s">
        <v>2124</v>
      </c>
      <c r="E263" s="6" t="s">
        <v>2125</v>
      </c>
      <c r="F263" s="6" t="s">
        <v>94</v>
      </c>
      <c r="G263" s="6" t="s">
        <v>2126</v>
      </c>
      <c r="H263" s="6" t="s">
        <v>2127</v>
      </c>
      <c r="I263" s="6" t="s">
        <v>2128</v>
      </c>
      <c r="J263" s="6"/>
      <c r="K263" s="6" t="s">
        <v>1841</v>
      </c>
      <c r="L263" s="6" t="s">
        <v>2129</v>
      </c>
      <c r="M263" s="6" t="s">
        <v>94</v>
      </c>
      <c r="N263" s="6" t="s">
        <v>94</v>
      </c>
      <c r="O263" s="6"/>
      <c r="P263" s="6" t="s">
        <v>85</v>
      </c>
      <c r="Q263" s="7" t="n">
        <f aca="false">IFERROR(INDEX(Wastage_Factors!$B$2:$B$60,MATCH(P263,Wastage_Factors!$A$2:$A$60,0)),0)</f>
        <v>0</v>
      </c>
      <c r="R263" s="6" t="s">
        <v>938</v>
      </c>
      <c r="S263" s="6" t="s">
        <v>87</v>
      </c>
      <c r="T263" s="6" t="s">
        <v>88</v>
      </c>
      <c r="U263" s="6" t="s">
        <v>83</v>
      </c>
      <c r="V263" s="6"/>
    </row>
    <row r="264" customFormat="false" ht="22.35" hidden="false" customHeight="false" outlineLevel="0" collapsed="false">
      <c r="A264" s="6" t="s">
        <v>2130</v>
      </c>
      <c r="B264" s="6" t="s">
        <v>2131</v>
      </c>
      <c r="C264" s="6" t="s">
        <v>2132</v>
      </c>
      <c r="D264" s="6" t="s">
        <v>2133</v>
      </c>
      <c r="E264" s="6" t="s">
        <v>2134</v>
      </c>
      <c r="F264" s="6" t="s">
        <v>115</v>
      </c>
      <c r="G264" s="6" t="s">
        <v>2135</v>
      </c>
      <c r="H264" s="6" t="s">
        <v>2136</v>
      </c>
      <c r="I264" s="6" t="s">
        <v>2137</v>
      </c>
      <c r="J264" s="6" t="s">
        <v>2138</v>
      </c>
      <c r="K264" s="6" t="s">
        <v>2139</v>
      </c>
      <c r="L264" s="6" t="s">
        <v>83</v>
      </c>
      <c r="M264" s="6" t="s">
        <v>115</v>
      </c>
      <c r="N264" s="6" t="s">
        <v>2028</v>
      </c>
      <c r="O264" s="6"/>
      <c r="P264" s="6" t="s">
        <v>85</v>
      </c>
      <c r="Q264" s="7" t="n">
        <f aca="false">IFERROR(INDEX(Wastage_Factors!$B$2:$B$60,MATCH(P264,Wastage_Factors!$A$2:$A$60,0)),0)</f>
        <v>0</v>
      </c>
      <c r="R264" s="6" t="s">
        <v>1218</v>
      </c>
      <c r="S264" s="6" t="s">
        <v>2089</v>
      </c>
      <c r="T264" s="6" t="s">
        <v>1169</v>
      </c>
      <c r="U264" s="6" t="s">
        <v>2009</v>
      </c>
      <c r="V264" s="6"/>
    </row>
    <row r="265" customFormat="false" ht="22.35" hidden="false" customHeight="false" outlineLevel="0" collapsed="false">
      <c r="A265" s="6" t="s">
        <v>2140</v>
      </c>
      <c r="B265" s="6" t="s">
        <v>2131</v>
      </c>
      <c r="C265" s="6" t="s">
        <v>2141</v>
      </c>
      <c r="D265" s="6" t="s">
        <v>2142</v>
      </c>
      <c r="E265" s="6" t="s">
        <v>2143</v>
      </c>
      <c r="F265" s="6" t="s">
        <v>77</v>
      </c>
      <c r="G265" s="6" t="s">
        <v>2144</v>
      </c>
      <c r="H265" s="6" t="s">
        <v>2145</v>
      </c>
      <c r="I265" s="6" t="s">
        <v>2146</v>
      </c>
      <c r="J265" s="6" t="s">
        <v>2147</v>
      </c>
      <c r="K265" s="6" t="s">
        <v>2139</v>
      </c>
      <c r="L265" s="6" t="s">
        <v>2148</v>
      </c>
      <c r="M265" s="6" t="s">
        <v>77</v>
      </c>
      <c r="N265" s="6" t="s">
        <v>149</v>
      </c>
      <c r="O265" s="6" t="s">
        <v>2149</v>
      </c>
      <c r="P265" s="6" t="s">
        <v>1948</v>
      </c>
      <c r="Q265" s="7" t="n">
        <f aca="false">IFERROR(INDEX(Wastage_Factors!$B$2:$B$60,MATCH(P265,Wastage_Factors!$A$2:$A$60,0)),0)</f>
        <v>0.1</v>
      </c>
      <c r="R265" s="6" t="s">
        <v>324</v>
      </c>
      <c r="S265" s="6" t="s">
        <v>99</v>
      </c>
      <c r="T265" s="6" t="s">
        <v>109</v>
      </c>
      <c r="U265" s="6" t="s">
        <v>1853</v>
      </c>
      <c r="V265" s="6"/>
    </row>
    <row r="266" customFormat="false" ht="22.35" hidden="false" customHeight="false" outlineLevel="0" collapsed="false">
      <c r="A266" s="6" t="s">
        <v>2150</v>
      </c>
      <c r="B266" s="6" t="s">
        <v>2131</v>
      </c>
      <c r="C266" s="6" t="s">
        <v>667</v>
      </c>
      <c r="D266" s="6" t="s">
        <v>2151</v>
      </c>
      <c r="E266" s="6" t="s">
        <v>2152</v>
      </c>
      <c r="F266" s="6" t="s">
        <v>77</v>
      </c>
      <c r="G266" s="6" t="s">
        <v>2153</v>
      </c>
      <c r="H266" s="6" t="s">
        <v>2145</v>
      </c>
      <c r="I266" s="6" t="s">
        <v>2154</v>
      </c>
      <c r="J266" s="6"/>
      <c r="K266" s="6" t="s">
        <v>2139</v>
      </c>
      <c r="L266" s="6" t="s">
        <v>83</v>
      </c>
      <c r="M266" s="6" t="s">
        <v>77</v>
      </c>
      <c r="N266" s="6" t="s">
        <v>149</v>
      </c>
      <c r="O266" s="6" t="s">
        <v>2149</v>
      </c>
      <c r="P266" s="6" t="s">
        <v>184</v>
      </c>
      <c r="Q266" s="7" t="n">
        <f aca="false">IFERROR(INDEX(Wastage_Factors!$B$2:$B$60,MATCH(P266,Wastage_Factors!$A$2:$A$60,0)),0)</f>
        <v>0.05</v>
      </c>
      <c r="R266" s="6" t="s">
        <v>324</v>
      </c>
      <c r="S266" s="6" t="s">
        <v>99</v>
      </c>
      <c r="T266" s="6" t="s">
        <v>109</v>
      </c>
      <c r="U266" s="6" t="s">
        <v>83</v>
      </c>
      <c r="V266" s="6"/>
    </row>
    <row r="267" customFormat="false" ht="22.35" hidden="false" customHeight="false" outlineLevel="0" collapsed="false">
      <c r="A267" s="6" t="s">
        <v>2155</v>
      </c>
      <c r="B267" s="6" t="s">
        <v>2131</v>
      </c>
      <c r="C267" s="6" t="s">
        <v>1914</v>
      </c>
      <c r="D267" s="6" t="s">
        <v>2156</v>
      </c>
      <c r="E267" s="6" t="s">
        <v>83</v>
      </c>
      <c r="F267" s="6" t="s">
        <v>1885</v>
      </c>
      <c r="G267" s="6" t="s">
        <v>2157</v>
      </c>
      <c r="H267" s="6" t="s">
        <v>2145</v>
      </c>
      <c r="I267" s="6" t="s">
        <v>2154</v>
      </c>
      <c r="J267" s="6"/>
      <c r="K267" s="6" t="s">
        <v>2139</v>
      </c>
      <c r="L267" s="6" t="s">
        <v>83</v>
      </c>
      <c r="M267" s="6" t="s">
        <v>1885</v>
      </c>
      <c r="N267" s="6" t="s">
        <v>149</v>
      </c>
      <c r="O267" s="6" t="s">
        <v>2149</v>
      </c>
      <c r="P267" s="6" t="s">
        <v>1892</v>
      </c>
      <c r="Q267" s="7" t="n">
        <f aca="false">IFERROR(INDEX(Wastage_Factors!$B$2:$B$60,MATCH(P267,Wastage_Factors!$A$2:$A$60,0)),0)</f>
        <v>0.1</v>
      </c>
      <c r="R267" s="6" t="s">
        <v>324</v>
      </c>
      <c r="S267" s="6" t="s">
        <v>99</v>
      </c>
      <c r="T267" s="6" t="s">
        <v>109</v>
      </c>
      <c r="U267" s="6" t="s">
        <v>83</v>
      </c>
      <c r="V267" s="6"/>
    </row>
    <row r="268" customFormat="false" ht="22.35" hidden="false" customHeight="false" outlineLevel="0" collapsed="false">
      <c r="A268" s="6" t="s">
        <v>2158</v>
      </c>
      <c r="B268" s="6" t="s">
        <v>2131</v>
      </c>
      <c r="C268" s="6" t="s">
        <v>1632</v>
      </c>
      <c r="D268" s="6" t="s">
        <v>2159</v>
      </c>
      <c r="E268" s="6" t="s">
        <v>83</v>
      </c>
      <c r="F268" s="6" t="s">
        <v>77</v>
      </c>
      <c r="G268" s="6" t="s">
        <v>2160</v>
      </c>
      <c r="H268" s="6" t="s">
        <v>2145</v>
      </c>
      <c r="I268" s="6" t="s">
        <v>2154</v>
      </c>
      <c r="J268" s="6"/>
      <c r="K268" s="6" t="s">
        <v>2139</v>
      </c>
      <c r="L268" s="6" t="s">
        <v>83</v>
      </c>
      <c r="M268" s="6" t="s">
        <v>77</v>
      </c>
      <c r="N268" s="6" t="s">
        <v>149</v>
      </c>
      <c r="O268" s="6" t="s">
        <v>2149</v>
      </c>
      <c r="P268" s="6" t="s">
        <v>1490</v>
      </c>
      <c r="Q268" s="7" t="n">
        <f aca="false">IFERROR(INDEX(Wastage_Factors!$B$2:$B$60,MATCH(P268,Wastage_Factors!$A$2:$A$60,0)),0)</f>
        <v>0.05</v>
      </c>
      <c r="R268" s="6" t="s">
        <v>324</v>
      </c>
      <c r="S268" s="6" t="s">
        <v>99</v>
      </c>
      <c r="T268" s="6" t="s">
        <v>225</v>
      </c>
      <c r="U268" s="6" t="s">
        <v>1431</v>
      </c>
      <c r="V268" s="6"/>
    </row>
    <row r="269" customFormat="false" ht="22.35" hidden="false" customHeight="false" outlineLevel="0" collapsed="false">
      <c r="A269" s="6" t="s">
        <v>2161</v>
      </c>
      <c r="B269" s="6" t="s">
        <v>2131</v>
      </c>
      <c r="C269" s="6" t="s">
        <v>2162</v>
      </c>
      <c r="D269" s="6" t="s">
        <v>2163</v>
      </c>
      <c r="E269" s="6" t="s">
        <v>83</v>
      </c>
      <c r="F269" s="6" t="s">
        <v>115</v>
      </c>
      <c r="G269" s="6" t="s">
        <v>2164</v>
      </c>
      <c r="H269" s="6" t="s">
        <v>2145</v>
      </c>
      <c r="I269" s="6" t="s">
        <v>2154</v>
      </c>
      <c r="J269" s="6"/>
      <c r="K269" s="6" t="s">
        <v>2139</v>
      </c>
      <c r="L269" s="6" t="s">
        <v>83</v>
      </c>
      <c r="M269" s="6" t="s">
        <v>115</v>
      </c>
      <c r="N269" s="6" t="s">
        <v>149</v>
      </c>
      <c r="O269" s="6" t="s">
        <v>2149</v>
      </c>
      <c r="P269" s="6" t="s">
        <v>85</v>
      </c>
      <c r="Q269" s="7" t="n">
        <f aca="false">IFERROR(INDEX(Wastage_Factors!$B$2:$B$60,MATCH(P269,Wastage_Factors!$A$2:$A$60,0)),0)</f>
        <v>0</v>
      </c>
      <c r="R269" s="6" t="s">
        <v>938</v>
      </c>
      <c r="S269" s="6" t="s">
        <v>99</v>
      </c>
      <c r="T269" s="6" t="s">
        <v>109</v>
      </c>
      <c r="U269" s="6" t="s">
        <v>83</v>
      </c>
      <c r="V269" s="6"/>
    </row>
    <row r="270" customFormat="false" ht="22.35" hidden="false" customHeight="false" outlineLevel="0" collapsed="false">
      <c r="A270" s="6" t="s">
        <v>2165</v>
      </c>
      <c r="B270" s="6" t="s">
        <v>2131</v>
      </c>
      <c r="C270" s="6" t="s">
        <v>2166</v>
      </c>
      <c r="D270" s="6" t="s">
        <v>2167</v>
      </c>
      <c r="E270" s="6" t="s">
        <v>83</v>
      </c>
      <c r="F270" s="6" t="s">
        <v>115</v>
      </c>
      <c r="G270" s="6" t="s">
        <v>2168</v>
      </c>
      <c r="H270" s="6" t="s">
        <v>2145</v>
      </c>
      <c r="I270" s="6" t="s">
        <v>2154</v>
      </c>
      <c r="J270" s="6" t="s">
        <v>2169</v>
      </c>
      <c r="K270" s="6" t="s">
        <v>2139</v>
      </c>
      <c r="L270" s="6" t="s">
        <v>83</v>
      </c>
      <c r="M270" s="6" t="s">
        <v>115</v>
      </c>
      <c r="N270" s="6" t="s">
        <v>149</v>
      </c>
      <c r="O270" s="6" t="s">
        <v>2149</v>
      </c>
      <c r="P270" s="6" t="s">
        <v>85</v>
      </c>
      <c r="Q270" s="7" t="n">
        <f aca="false">IFERROR(INDEX(Wastage_Factors!$B$2:$B$60,MATCH(P270,Wastage_Factors!$A$2:$A$60,0)),0)</f>
        <v>0</v>
      </c>
      <c r="R270" s="6" t="s">
        <v>523</v>
      </c>
      <c r="S270" s="6" t="s">
        <v>99</v>
      </c>
      <c r="T270" s="6" t="s">
        <v>109</v>
      </c>
      <c r="U270" s="6" t="s">
        <v>83</v>
      </c>
      <c r="V270" s="6"/>
    </row>
    <row r="271" customFormat="false" ht="22.35" hidden="false" customHeight="false" outlineLevel="0" collapsed="false">
      <c r="A271" s="6" t="s">
        <v>2170</v>
      </c>
      <c r="B271" s="6" t="s">
        <v>2131</v>
      </c>
      <c r="C271" s="6" t="s">
        <v>2171</v>
      </c>
      <c r="D271" s="6" t="s">
        <v>2172</v>
      </c>
      <c r="E271" s="6" t="s">
        <v>2173</v>
      </c>
      <c r="F271" s="6" t="s">
        <v>115</v>
      </c>
      <c r="G271" s="6" t="s">
        <v>2174</v>
      </c>
      <c r="H271" s="6" t="s">
        <v>2175</v>
      </c>
      <c r="I271" s="6" t="s">
        <v>2176</v>
      </c>
      <c r="J271" s="6"/>
      <c r="K271" s="6" t="s">
        <v>2139</v>
      </c>
      <c r="L271" s="6" t="s">
        <v>83</v>
      </c>
      <c r="M271" s="6" t="s">
        <v>115</v>
      </c>
      <c r="N271" s="6" t="s">
        <v>149</v>
      </c>
      <c r="O271" s="6" t="s">
        <v>2177</v>
      </c>
      <c r="P271" s="6" t="s">
        <v>85</v>
      </c>
      <c r="Q271" s="7" t="n">
        <f aca="false">IFERROR(INDEX(Wastage_Factors!$B$2:$B$60,MATCH(P271,Wastage_Factors!$A$2:$A$60,0)),0)</f>
        <v>0</v>
      </c>
      <c r="R271" s="6" t="s">
        <v>1218</v>
      </c>
      <c r="S271" s="6" t="s">
        <v>99</v>
      </c>
      <c r="T271" s="6" t="s">
        <v>1169</v>
      </c>
      <c r="U271" s="6" t="s">
        <v>2009</v>
      </c>
      <c r="V271" s="6"/>
    </row>
    <row r="272" customFormat="false" ht="22.35" hidden="false" customHeight="false" outlineLevel="0" collapsed="false">
      <c r="A272" s="6" t="s">
        <v>2178</v>
      </c>
      <c r="B272" s="6" t="s">
        <v>2131</v>
      </c>
      <c r="C272" s="6" t="s">
        <v>2171</v>
      </c>
      <c r="D272" s="6" t="s">
        <v>2179</v>
      </c>
      <c r="E272" s="6" t="s">
        <v>2180</v>
      </c>
      <c r="F272" s="6" t="s">
        <v>77</v>
      </c>
      <c r="G272" s="6" t="s">
        <v>2181</v>
      </c>
      <c r="H272" s="6" t="s">
        <v>2182</v>
      </c>
      <c r="I272" s="6" t="s">
        <v>2183</v>
      </c>
      <c r="J272" s="6"/>
      <c r="K272" s="6" t="s">
        <v>2139</v>
      </c>
      <c r="L272" s="6" t="s">
        <v>83</v>
      </c>
      <c r="M272" s="6" t="s">
        <v>77</v>
      </c>
      <c r="N272" s="6" t="s">
        <v>1867</v>
      </c>
      <c r="O272" s="6"/>
      <c r="P272" s="6" t="s">
        <v>184</v>
      </c>
      <c r="Q272" s="7" t="n">
        <f aca="false">IFERROR(INDEX(Wastage_Factors!$B$2:$B$60,MATCH(P272,Wastage_Factors!$A$2:$A$60,0)),0)</f>
        <v>0.05</v>
      </c>
      <c r="R272" s="6" t="s">
        <v>324</v>
      </c>
      <c r="S272" s="6" t="s">
        <v>99</v>
      </c>
      <c r="T272" s="6" t="s">
        <v>88</v>
      </c>
      <c r="U272" s="6" t="s">
        <v>83</v>
      </c>
      <c r="V272" s="6"/>
    </row>
    <row r="273" customFormat="false" ht="15" hidden="false" customHeight="false" outlineLevel="0" collapsed="false">
      <c r="A273" s="6" t="s">
        <v>2184</v>
      </c>
      <c r="B273" s="6" t="s">
        <v>2131</v>
      </c>
      <c r="C273" s="6" t="s">
        <v>2171</v>
      </c>
      <c r="D273" s="6" t="s">
        <v>2185</v>
      </c>
      <c r="E273" s="6" t="s">
        <v>83</v>
      </c>
      <c r="F273" s="6" t="s">
        <v>115</v>
      </c>
      <c r="G273" s="6" t="s">
        <v>2186</v>
      </c>
      <c r="H273" s="6" t="s">
        <v>2187</v>
      </c>
      <c r="I273" s="6" t="s">
        <v>83</v>
      </c>
      <c r="J273" s="6"/>
      <c r="K273" s="6" t="s">
        <v>2139</v>
      </c>
      <c r="L273" s="6" t="s">
        <v>83</v>
      </c>
      <c r="M273" s="6" t="s">
        <v>115</v>
      </c>
      <c r="N273" s="6" t="s">
        <v>1066</v>
      </c>
      <c r="O273" s="6"/>
      <c r="P273" s="6" t="s">
        <v>85</v>
      </c>
      <c r="Q273" s="7" t="n">
        <f aca="false">IFERROR(INDEX(Wastage_Factors!$B$2:$B$60,MATCH(P273,Wastage_Factors!$A$2:$A$60,0)),0)</f>
        <v>0</v>
      </c>
      <c r="R273" s="6" t="s">
        <v>523</v>
      </c>
      <c r="S273" s="6" t="s">
        <v>99</v>
      </c>
      <c r="T273" s="6" t="s">
        <v>109</v>
      </c>
      <c r="U273" s="6" t="s">
        <v>83</v>
      </c>
      <c r="V273" s="6"/>
    </row>
    <row r="274" customFormat="false" ht="22.35" hidden="false" customHeight="false" outlineLevel="0" collapsed="false">
      <c r="A274" s="6" t="s">
        <v>2188</v>
      </c>
      <c r="B274" s="6" t="s">
        <v>2131</v>
      </c>
      <c r="C274" s="6" t="s">
        <v>2189</v>
      </c>
      <c r="D274" s="6" t="s">
        <v>2190</v>
      </c>
      <c r="E274" s="6" t="s">
        <v>83</v>
      </c>
      <c r="F274" s="6" t="s">
        <v>182</v>
      </c>
      <c r="G274" s="6" t="s">
        <v>2191</v>
      </c>
      <c r="H274" s="6" t="s">
        <v>2192</v>
      </c>
      <c r="I274" s="6" t="s">
        <v>2193</v>
      </c>
      <c r="J274" s="6" t="s">
        <v>2194</v>
      </c>
      <c r="K274" s="6" t="s">
        <v>2139</v>
      </c>
      <c r="L274" s="6" t="s">
        <v>83</v>
      </c>
      <c r="M274" s="6" t="s">
        <v>182</v>
      </c>
      <c r="N274" s="6" t="s">
        <v>2195</v>
      </c>
      <c r="O274" s="6"/>
      <c r="P274" s="6" t="s">
        <v>184</v>
      </c>
      <c r="Q274" s="7" t="n">
        <f aca="false">IFERROR(INDEX(Wastage_Factors!$B$2:$B$60,MATCH(P274,Wastage_Factors!$A$2:$A$60,0)),0)</f>
        <v>0.05</v>
      </c>
      <c r="R274" s="6" t="s">
        <v>244</v>
      </c>
      <c r="S274" s="6" t="s">
        <v>87</v>
      </c>
      <c r="T274" s="6" t="s">
        <v>1169</v>
      </c>
      <c r="U274" s="6" t="s">
        <v>2196</v>
      </c>
      <c r="V274" s="6"/>
    </row>
    <row r="275" customFormat="false" ht="22.35" hidden="false" customHeight="false" outlineLevel="0" collapsed="false">
      <c r="A275" s="6" t="s">
        <v>2197</v>
      </c>
      <c r="B275" s="6" t="s">
        <v>2131</v>
      </c>
      <c r="C275" s="6" t="s">
        <v>667</v>
      </c>
      <c r="D275" s="6" t="s">
        <v>2198</v>
      </c>
      <c r="E275" s="6" t="s">
        <v>83</v>
      </c>
      <c r="F275" s="6" t="s">
        <v>182</v>
      </c>
      <c r="G275" s="6" t="s">
        <v>2199</v>
      </c>
      <c r="H275" s="6" t="s">
        <v>2200</v>
      </c>
      <c r="I275" s="6" t="s">
        <v>2201</v>
      </c>
      <c r="J275" s="6" t="s">
        <v>2202</v>
      </c>
      <c r="K275" s="6" t="s">
        <v>2139</v>
      </c>
      <c r="L275" s="6" t="s">
        <v>83</v>
      </c>
      <c r="M275" s="6" t="s">
        <v>182</v>
      </c>
      <c r="N275" s="6" t="s">
        <v>2203</v>
      </c>
      <c r="O275" s="6"/>
      <c r="P275" s="6" t="s">
        <v>210</v>
      </c>
      <c r="Q275" s="7" t="n">
        <f aca="false">IFERROR(INDEX(Wastage_Factors!$B$2:$B$60,MATCH(P275,Wastage_Factors!$A$2:$A$60,0)),0)</f>
        <v>0.05</v>
      </c>
      <c r="R275" s="6" t="s">
        <v>938</v>
      </c>
      <c r="S275" s="6" t="s">
        <v>122</v>
      </c>
      <c r="T275" s="6" t="s">
        <v>88</v>
      </c>
      <c r="U275" s="6" t="s">
        <v>83</v>
      </c>
      <c r="V275" s="6"/>
    </row>
    <row r="276" customFormat="false" ht="15" hidden="false" customHeight="false" outlineLevel="0" collapsed="false">
      <c r="A276" s="6" t="s">
        <v>2204</v>
      </c>
      <c r="B276" s="6" t="s">
        <v>2131</v>
      </c>
      <c r="C276" s="6" t="s">
        <v>2205</v>
      </c>
      <c r="D276" s="6" t="s">
        <v>2206</v>
      </c>
      <c r="E276" s="6" t="s">
        <v>83</v>
      </c>
      <c r="F276" s="6" t="s">
        <v>115</v>
      </c>
      <c r="G276" s="6" t="s">
        <v>2207</v>
      </c>
      <c r="H276" s="6" t="s">
        <v>2208</v>
      </c>
      <c r="I276" s="6" t="s">
        <v>2070</v>
      </c>
      <c r="J276" s="6" t="s">
        <v>2209</v>
      </c>
      <c r="K276" s="6" t="s">
        <v>2139</v>
      </c>
      <c r="L276" s="6" t="s">
        <v>83</v>
      </c>
      <c r="M276" s="6" t="s">
        <v>115</v>
      </c>
      <c r="N276" s="6" t="s">
        <v>1066</v>
      </c>
      <c r="O276" s="6"/>
      <c r="P276" s="6" t="s">
        <v>85</v>
      </c>
      <c r="Q276" s="7" t="n">
        <f aca="false">IFERROR(INDEX(Wastage_Factors!$B$2:$B$60,MATCH(P276,Wastage_Factors!$A$2:$A$60,0)),0)</f>
        <v>0</v>
      </c>
      <c r="R276" s="6" t="s">
        <v>307</v>
      </c>
      <c r="S276" s="6" t="s">
        <v>87</v>
      </c>
      <c r="T276" s="6" t="s">
        <v>88</v>
      </c>
      <c r="U276" s="6" t="s">
        <v>83</v>
      </c>
      <c r="V276" s="6"/>
    </row>
    <row r="277" customFormat="false" ht="22.35" hidden="false" customHeight="false" outlineLevel="0" collapsed="false">
      <c r="A277" s="6" t="s">
        <v>2210</v>
      </c>
      <c r="B277" s="6" t="s">
        <v>2211</v>
      </c>
      <c r="C277" s="6" t="s">
        <v>2212</v>
      </c>
      <c r="D277" s="6" t="s">
        <v>2213</v>
      </c>
      <c r="E277" s="6" t="s">
        <v>2214</v>
      </c>
      <c r="F277" s="6" t="s">
        <v>94</v>
      </c>
      <c r="G277" s="6" t="s">
        <v>2215</v>
      </c>
      <c r="H277" s="6" t="s">
        <v>2216</v>
      </c>
      <c r="I277" s="6" t="s">
        <v>2217</v>
      </c>
      <c r="J277" s="6" t="s">
        <v>2218</v>
      </c>
      <c r="K277" s="6" t="s">
        <v>1841</v>
      </c>
      <c r="L277" s="6" t="s">
        <v>83</v>
      </c>
      <c r="M277" s="6" t="s">
        <v>94</v>
      </c>
      <c r="N277" s="6" t="s">
        <v>2219</v>
      </c>
      <c r="O277" s="6"/>
      <c r="P277" s="6" t="s">
        <v>1851</v>
      </c>
      <c r="Q277" s="7" t="n">
        <f aca="false">IFERROR(INDEX(Wastage_Factors!$B$2:$B$60,MATCH(P277,Wastage_Factors!$A$2:$A$60,0)),0)</f>
        <v>0.08</v>
      </c>
      <c r="R277" s="6" t="s">
        <v>1305</v>
      </c>
      <c r="S277" s="6" t="s">
        <v>122</v>
      </c>
      <c r="T277" s="6" t="s">
        <v>88</v>
      </c>
      <c r="U277" s="6" t="s">
        <v>83</v>
      </c>
      <c r="V277" s="6"/>
    </row>
    <row r="278" customFormat="false" ht="22.35" hidden="false" customHeight="false" outlineLevel="0" collapsed="false">
      <c r="A278" s="6" t="s">
        <v>2220</v>
      </c>
      <c r="B278" s="6" t="s">
        <v>2211</v>
      </c>
      <c r="C278" s="6" t="s">
        <v>2221</v>
      </c>
      <c r="D278" s="6" t="s">
        <v>2222</v>
      </c>
      <c r="E278" s="6" t="s">
        <v>2223</v>
      </c>
      <c r="F278" s="6" t="s">
        <v>2224</v>
      </c>
      <c r="G278" s="6" t="s">
        <v>1776</v>
      </c>
      <c r="H278" s="6" t="s">
        <v>2225</v>
      </c>
      <c r="I278" s="6" t="s">
        <v>2226</v>
      </c>
      <c r="J278" s="6"/>
      <c r="K278" s="6" t="s">
        <v>1841</v>
      </c>
      <c r="L278" s="6" t="s">
        <v>83</v>
      </c>
      <c r="M278" s="6" t="s">
        <v>2224</v>
      </c>
      <c r="N278" s="6" t="s">
        <v>2227</v>
      </c>
      <c r="O278" s="6"/>
      <c r="P278" s="6" t="s">
        <v>85</v>
      </c>
      <c r="Q278" s="7" t="n">
        <f aca="false">IFERROR(INDEX(Wastage_Factors!$B$2:$B$60,MATCH(P278,Wastage_Factors!$A$2:$A$60,0)),0)</f>
        <v>0</v>
      </c>
      <c r="R278" s="6" t="s">
        <v>1218</v>
      </c>
      <c r="S278" s="6" t="s">
        <v>87</v>
      </c>
      <c r="T278" s="6" t="s">
        <v>88</v>
      </c>
      <c r="U278" s="6" t="s">
        <v>83</v>
      </c>
      <c r="V278" s="6"/>
    </row>
    <row r="279" customFormat="false" ht="15" hidden="false" customHeight="false" outlineLevel="0" collapsed="false">
      <c r="A279" s="6" t="s">
        <v>2228</v>
      </c>
      <c r="B279" s="6" t="s">
        <v>2211</v>
      </c>
      <c r="C279" s="6" t="s">
        <v>1983</v>
      </c>
      <c r="D279" s="6" t="s">
        <v>2229</v>
      </c>
      <c r="E279" s="6" t="s">
        <v>83</v>
      </c>
      <c r="F279" s="6" t="s">
        <v>94</v>
      </c>
      <c r="G279" s="6" t="s">
        <v>2230</v>
      </c>
      <c r="H279" s="6" t="s">
        <v>94</v>
      </c>
      <c r="I279" s="6" t="s">
        <v>83</v>
      </c>
      <c r="J279" s="6"/>
      <c r="K279" s="6" t="s">
        <v>1841</v>
      </c>
      <c r="L279" s="6" t="s">
        <v>83</v>
      </c>
      <c r="M279" s="6" t="s">
        <v>94</v>
      </c>
      <c r="N279" s="6" t="s">
        <v>94</v>
      </c>
      <c r="O279" s="6"/>
      <c r="P279" s="6" t="s">
        <v>85</v>
      </c>
      <c r="Q279" s="7" t="n">
        <f aca="false">IFERROR(INDEX(Wastage_Factors!$B$2:$B$60,MATCH(P279,Wastage_Factors!$A$2:$A$60,0)),0)</f>
        <v>0</v>
      </c>
      <c r="R279" s="6" t="s">
        <v>244</v>
      </c>
      <c r="S279" s="6" t="s">
        <v>87</v>
      </c>
      <c r="T279" s="6" t="s">
        <v>88</v>
      </c>
      <c r="U279" s="6" t="s">
        <v>83</v>
      </c>
      <c r="V279" s="6"/>
    </row>
    <row r="280" customFormat="false" ht="22.35" hidden="false" customHeight="false" outlineLevel="0" collapsed="false">
      <c r="A280" s="6" t="s">
        <v>2231</v>
      </c>
      <c r="B280" s="6" t="s">
        <v>2232</v>
      </c>
      <c r="C280" s="6" t="s">
        <v>2233</v>
      </c>
      <c r="D280" s="6" t="s">
        <v>2234</v>
      </c>
      <c r="E280" s="6" t="s">
        <v>2235</v>
      </c>
      <c r="F280" s="6" t="s">
        <v>182</v>
      </c>
      <c r="G280" s="6" t="s">
        <v>2236</v>
      </c>
      <c r="H280" s="6" t="s">
        <v>2237</v>
      </c>
      <c r="I280" s="6" t="s">
        <v>2238</v>
      </c>
      <c r="J280" s="6"/>
      <c r="K280" s="6" t="s">
        <v>567</v>
      </c>
      <c r="L280" s="6" t="s">
        <v>83</v>
      </c>
      <c r="M280" s="6" t="s">
        <v>182</v>
      </c>
      <c r="N280" s="6" t="s">
        <v>149</v>
      </c>
      <c r="O280" s="6" t="s">
        <v>2239</v>
      </c>
      <c r="P280" s="6" t="s">
        <v>522</v>
      </c>
      <c r="Q280" s="7" t="n">
        <f aca="false">IFERROR(INDEX(Wastage_Factors!$B$2:$B$60,MATCH(P280,Wastage_Factors!$A$2:$A$60,0)),0)</f>
        <v>0.07</v>
      </c>
      <c r="R280" s="6" t="s">
        <v>202</v>
      </c>
      <c r="S280" s="6" t="s">
        <v>99</v>
      </c>
      <c r="T280" s="6" t="s">
        <v>1169</v>
      </c>
      <c r="U280" s="6" t="s">
        <v>2240</v>
      </c>
      <c r="V280" s="6"/>
    </row>
    <row r="281" customFormat="false" ht="22.35" hidden="false" customHeight="false" outlineLevel="0" collapsed="false">
      <c r="A281" s="6" t="s">
        <v>2241</v>
      </c>
      <c r="B281" s="6" t="s">
        <v>2232</v>
      </c>
      <c r="C281" s="6" t="s">
        <v>2233</v>
      </c>
      <c r="D281" s="6" t="s">
        <v>2242</v>
      </c>
      <c r="E281" s="6" t="s">
        <v>2243</v>
      </c>
      <c r="F281" s="6" t="s">
        <v>77</v>
      </c>
      <c r="G281" s="6" t="s">
        <v>2244</v>
      </c>
      <c r="H281" s="6" t="s">
        <v>2245</v>
      </c>
      <c r="I281" s="6" t="s">
        <v>705</v>
      </c>
      <c r="J281" s="6"/>
      <c r="K281" s="6" t="s">
        <v>567</v>
      </c>
      <c r="L281" s="6" t="s">
        <v>83</v>
      </c>
      <c r="M281" s="6" t="s">
        <v>77</v>
      </c>
      <c r="N281" s="6" t="s">
        <v>2246</v>
      </c>
      <c r="O281" s="6"/>
      <c r="P281" s="6" t="s">
        <v>184</v>
      </c>
      <c r="Q281" s="7" t="n">
        <f aca="false">IFERROR(INDEX(Wastage_Factors!$B$2:$B$60,MATCH(P281,Wastage_Factors!$A$2:$A$60,0)),0)</f>
        <v>0.05</v>
      </c>
      <c r="R281" s="6" t="s">
        <v>202</v>
      </c>
      <c r="S281" s="6" t="s">
        <v>99</v>
      </c>
      <c r="T281" s="6" t="s">
        <v>109</v>
      </c>
      <c r="U281" s="6" t="s">
        <v>83</v>
      </c>
      <c r="V281" s="6"/>
    </row>
    <row r="282" customFormat="false" ht="22.35" hidden="false" customHeight="false" outlineLevel="0" collapsed="false">
      <c r="A282" s="6" t="s">
        <v>2247</v>
      </c>
      <c r="B282" s="6" t="s">
        <v>2232</v>
      </c>
      <c r="C282" s="6" t="s">
        <v>2233</v>
      </c>
      <c r="D282" s="6" t="s">
        <v>2248</v>
      </c>
      <c r="E282" s="6" t="s">
        <v>2249</v>
      </c>
      <c r="F282" s="6" t="s">
        <v>143</v>
      </c>
      <c r="G282" s="6" t="s">
        <v>2250</v>
      </c>
      <c r="H282" s="6" t="s">
        <v>2237</v>
      </c>
      <c r="I282" s="6" t="s">
        <v>2251</v>
      </c>
      <c r="J282" s="6"/>
      <c r="K282" s="6" t="s">
        <v>567</v>
      </c>
      <c r="L282" s="6" t="s">
        <v>83</v>
      </c>
      <c r="M282" s="6" t="s">
        <v>182</v>
      </c>
      <c r="N282" s="6" t="s">
        <v>149</v>
      </c>
      <c r="O282" s="6" t="s">
        <v>2239</v>
      </c>
      <c r="P282" s="6" t="s">
        <v>171</v>
      </c>
      <c r="Q282" s="7" t="n">
        <f aca="false">IFERROR(INDEX(Wastage_Factors!$B$2:$B$60,MATCH(P282,Wastage_Factors!$A$2:$A$60,0)),0)</f>
        <v>0.1</v>
      </c>
      <c r="R282" s="6" t="s">
        <v>202</v>
      </c>
      <c r="S282" s="6" t="s">
        <v>99</v>
      </c>
      <c r="T282" s="6" t="s">
        <v>109</v>
      </c>
      <c r="U282" s="6" t="s">
        <v>83</v>
      </c>
      <c r="V282" s="6"/>
    </row>
    <row r="283" customFormat="false" ht="22.35" hidden="false" customHeight="false" outlineLevel="0" collapsed="false">
      <c r="A283" s="6" t="s">
        <v>2252</v>
      </c>
      <c r="B283" s="6" t="s">
        <v>2232</v>
      </c>
      <c r="C283" s="6" t="s">
        <v>2253</v>
      </c>
      <c r="D283" s="6" t="s">
        <v>2254</v>
      </c>
      <c r="E283" s="6" t="s">
        <v>2255</v>
      </c>
      <c r="F283" s="6" t="s">
        <v>143</v>
      </c>
      <c r="G283" s="6" t="s">
        <v>2256</v>
      </c>
      <c r="H283" s="6" t="s">
        <v>2257</v>
      </c>
      <c r="I283" s="6" t="s">
        <v>2258</v>
      </c>
      <c r="J283" s="6"/>
      <c r="K283" s="6" t="s">
        <v>567</v>
      </c>
      <c r="L283" s="6" t="s">
        <v>83</v>
      </c>
      <c r="M283" s="6" t="s">
        <v>182</v>
      </c>
      <c r="N283" s="6" t="s">
        <v>2259</v>
      </c>
      <c r="O283" s="6"/>
      <c r="P283" s="6" t="s">
        <v>161</v>
      </c>
      <c r="Q283" s="7" t="n">
        <f aca="false">IFERROR(INDEX(Wastage_Factors!$B$2:$B$60,MATCH(P283,Wastage_Factors!$A$2:$A$60,0)),0)</f>
        <v>0</v>
      </c>
      <c r="R283" s="6" t="s">
        <v>202</v>
      </c>
      <c r="S283" s="6" t="s">
        <v>99</v>
      </c>
      <c r="T283" s="6" t="s">
        <v>1169</v>
      </c>
      <c r="U283" s="6" t="s">
        <v>2260</v>
      </c>
      <c r="V283" s="6"/>
    </row>
    <row r="284" customFormat="false" ht="15" hidden="false" customHeight="false" outlineLevel="0" collapsed="false">
      <c r="A284" s="6" t="s">
        <v>2261</v>
      </c>
      <c r="B284" s="6" t="s">
        <v>2232</v>
      </c>
      <c r="C284" s="6" t="s">
        <v>2253</v>
      </c>
      <c r="D284" s="6" t="s">
        <v>2262</v>
      </c>
      <c r="E284" s="6" t="s">
        <v>83</v>
      </c>
      <c r="F284" s="6" t="s">
        <v>182</v>
      </c>
      <c r="G284" s="6" t="s">
        <v>2263</v>
      </c>
      <c r="H284" s="6" t="s">
        <v>2264</v>
      </c>
      <c r="I284" s="6" t="s">
        <v>705</v>
      </c>
      <c r="J284" s="6"/>
      <c r="K284" s="6" t="s">
        <v>567</v>
      </c>
      <c r="L284" s="6" t="s">
        <v>83</v>
      </c>
      <c r="M284" s="6" t="s">
        <v>182</v>
      </c>
      <c r="N284" s="6" t="s">
        <v>2265</v>
      </c>
      <c r="O284" s="6"/>
      <c r="P284" s="6" t="s">
        <v>184</v>
      </c>
      <c r="Q284" s="7" t="n">
        <f aca="false">IFERROR(INDEX(Wastage_Factors!$B$2:$B$60,MATCH(P284,Wastage_Factors!$A$2:$A$60,0)),0)</f>
        <v>0.05</v>
      </c>
      <c r="R284" s="6" t="s">
        <v>1218</v>
      </c>
      <c r="S284" s="6" t="s">
        <v>87</v>
      </c>
      <c r="T284" s="6" t="s">
        <v>88</v>
      </c>
      <c r="U284" s="6" t="s">
        <v>83</v>
      </c>
      <c r="V284" s="6"/>
    </row>
    <row r="285" customFormat="false" ht="22.35" hidden="false" customHeight="false" outlineLevel="0" collapsed="false">
      <c r="A285" s="6" t="s">
        <v>2266</v>
      </c>
      <c r="B285" s="6" t="s">
        <v>2232</v>
      </c>
      <c r="C285" s="6" t="s">
        <v>2267</v>
      </c>
      <c r="D285" s="6" t="s">
        <v>2268</v>
      </c>
      <c r="E285" s="6" t="s">
        <v>2269</v>
      </c>
      <c r="F285" s="6" t="s">
        <v>182</v>
      </c>
      <c r="G285" s="6" t="s">
        <v>2270</v>
      </c>
      <c r="H285" s="6" t="s">
        <v>2271</v>
      </c>
      <c r="I285" s="6" t="s">
        <v>2272</v>
      </c>
      <c r="J285" s="6" t="s">
        <v>2273</v>
      </c>
      <c r="K285" s="6" t="s">
        <v>567</v>
      </c>
      <c r="L285" s="6" t="s">
        <v>83</v>
      </c>
      <c r="M285" s="6" t="s">
        <v>182</v>
      </c>
      <c r="N285" s="6" t="s">
        <v>2274</v>
      </c>
      <c r="O285" s="6"/>
      <c r="P285" s="6" t="s">
        <v>85</v>
      </c>
      <c r="Q285" s="7" t="n">
        <f aca="false">IFERROR(INDEX(Wastage_Factors!$B$2:$B$60,MATCH(P285,Wastage_Factors!$A$2:$A$60,0)),0)</f>
        <v>0</v>
      </c>
      <c r="R285" s="6" t="s">
        <v>202</v>
      </c>
      <c r="S285" s="6" t="s">
        <v>122</v>
      </c>
      <c r="T285" s="6" t="s">
        <v>88</v>
      </c>
      <c r="U285" s="6" t="s">
        <v>83</v>
      </c>
      <c r="V285" s="6"/>
    </row>
    <row r="286" customFormat="false" ht="22.35" hidden="false" customHeight="false" outlineLevel="0" collapsed="false">
      <c r="A286" s="6" t="s">
        <v>2275</v>
      </c>
      <c r="B286" s="6" t="s">
        <v>2232</v>
      </c>
      <c r="C286" s="6" t="s">
        <v>2276</v>
      </c>
      <c r="D286" s="6" t="s">
        <v>2277</v>
      </c>
      <c r="E286" s="6" t="s">
        <v>2278</v>
      </c>
      <c r="F286" s="6" t="s">
        <v>77</v>
      </c>
      <c r="G286" s="6" t="s">
        <v>2279</v>
      </c>
      <c r="H286" s="6" t="s">
        <v>2280</v>
      </c>
      <c r="I286" s="6" t="s">
        <v>2281</v>
      </c>
      <c r="J286" s="6" t="s">
        <v>2282</v>
      </c>
      <c r="K286" s="6" t="s">
        <v>567</v>
      </c>
      <c r="L286" s="6" t="s">
        <v>2283</v>
      </c>
      <c r="M286" s="6" t="s">
        <v>77</v>
      </c>
      <c r="N286" s="6" t="s">
        <v>2284</v>
      </c>
      <c r="O286" s="6"/>
      <c r="P286" s="6" t="s">
        <v>85</v>
      </c>
      <c r="Q286" s="7" t="n">
        <f aca="false">IFERROR(INDEX(Wastage_Factors!$B$2:$B$60,MATCH(P286,Wastage_Factors!$A$2:$A$60,0)),0)</f>
        <v>0</v>
      </c>
      <c r="R286" s="6" t="s">
        <v>202</v>
      </c>
      <c r="S286" s="6" t="s">
        <v>99</v>
      </c>
      <c r="T286" s="6" t="s">
        <v>109</v>
      </c>
      <c r="U286" s="6" t="s">
        <v>1470</v>
      </c>
      <c r="V286" s="6"/>
    </row>
    <row r="287" customFormat="false" ht="22.35" hidden="false" customHeight="false" outlineLevel="0" collapsed="false">
      <c r="A287" s="6" t="s">
        <v>2285</v>
      </c>
      <c r="B287" s="6" t="s">
        <v>2232</v>
      </c>
      <c r="C287" s="6" t="s">
        <v>2286</v>
      </c>
      <c r="D287" s="6" t="s">
        <v>2287</v>
      </c>
      <c r="E287" s="6" t="s">
        <v>2288</v>
      </c>
      <c r="F287" s="6" t="s">
        <v>182</v>
      </c>
      <c r="G287" s="6" t="s">
        <v>2289</v>
      </c>
      <c r="H287" s="6" t="s">
        <v>2290</v>
      </c>
      <c r="I287" s="6" t="s">
        <v>2291</v>
      </c>
      <c r="J287" s="6"/>
      <c r="K287" s="6" t="s">
        <v>567</v>
      </c>
      <c r="L287" s="6" t="s">
        <v>83</v>
      </c>
      <c r="M287" s="6" t="s">
        <v>182</v>
      </c>
      <c r="N287" s="6" t="s">
        <v>2292</v>
      </c>
      <c r="O287" s="6"/>
      <c r="P287" s="6" t="s">
        <v>422</v>
      </c>
      <c r="Q287" s="7" t="n">
        <f aca="false">IFERROR(INDEX(Wastage_Factors!$B$2:$B$60,MATCH(P287,Wastage_Factors!$A$2:$A$60,0)),0)</f>
        <v>0.05</v>
      </c>
      <c r="R287" s="6" t="s">
        <v>202</v>
      </c>
      <c r="S287" s="6" t="s">
        <v>99</v>
      </c>
      <c r="T287" s="6" t="s">
        <v>1169</v>
      </c>
      <c r="U287" s="6" t="s">
        <v>2293</v>
      </c>
      <c r="V287" s="6"/>
    </row>
    <row r="288" customFormat="false" ht="15" hidden="false" customHeight="false" outlineLevel="0" collapsed="false">
      <c r="A288" s="6" t="s">
        <v>2294</v>
      </c>
      <c r="B288" s="6" t="s">
        <v>2232</v>
      </c>
      <c r="C288" s="6" t="s">
        <v>2295</v>
      </c>
      <c r="D288" s="6" t="s">
        <v>2296</v>
      </c>
      <c r="E288" s="6" t="s">
        <v>2297</v>
      </c>
      <c r="F288" s="6" t="s">
        <v>115</v>
      </c>
      <c r="G288" s="6" t="s">
        <v>2298</v>
      </c>
      <c r="H288" s="6" t="s">
        <v>1388</v>
      </c>
      <c r="I288" s="6" t="s">
        <v>83</v>
      </c>
      <c r="J288" s="6"/>
      <c r="K288" s="6" t="s">
        <v>567</v>
      </c>
      <c r="L288" s="6" t="s">
        <v>83</v>
      </c>
      <c r="M288" s="6" t="s">
        <v>115</v>
      </c>
      <c r="N288" s="6" t="s">
        <v>1066</v>
      </c>
      <c r="O288" s="6"/>
      <c r="P288" s="6" t="s">
        <v>85</v>
      </c>
      <c r="Q288" s="7" t="n">
        <f aca="false">IFERROR(INDEX(Wastage_Factors!$B$2:$B$60,MATCH(P288,Wastage_Factors!$A$2:$A$60,0)),0)</f>
        <v>0</v>
      </c>
      <c r="R288" s="6" t="s">
        <v>1218</v>
      </c>
      <c r="S288" s="6" t="s">
        <v>99</v>
      </c>
      <c r="T288" s="6" t="s">
        <v>88</v>
      </c>
      <c r="U288" s="6" t="s">
        <v>83</v>
      </c>
      <c r="V288" s="6"/>
    </row>
    <row r="289" customFormat="false" ht="22.35" hidden="false" customHeight="false" outlineLevel="0" collapsed="false">
      <c r="A289" s="6" t="s">
        <v>2299</v>
      </c>
      <c r="B289" s="6" t="s">
        <v>2232</v>
      </c>
      <c r="C289" s="6" t="s">
        <v>570</v>
      </c>
      <c r="D289" s="6" t="s">
        <v>2300</v>
      </c>
      <c r="E289" s="6" t="s">
        <v>2301</v>
      </c>
      <c r="F289" s="6" t="s">
        <v>182</v>
      </c>
      <c r="G289" s="6" t="s">
        <v>2302</v>
      </c>
      <c r="H289" s="6" t="s">
        <v>2303</v>
      </c>
      <c r="I289" s="6" t="s">
        <v>2304</v>
      </c>
      <c r="J289" s="6" t="s">
        <v>2305</v>
      </c>
      <c r="K289" s="6" t="s">
        <v>567</v>
      </c>
      <c r="L289" s="6" t="s">
        <v>83</v>
      </c>
      <c r="M289" s="6" t="s">
        <v>182</v>
      </c>
      <c r="N289" s="6" t="s">
        <v>2306</v>
      </c>
      <c r="O289" s="6"/>
      <c r="P289" s="6" t="s">
        <v>577</v>
      </c>
      <c r="Q289" s="7" t="n">
        <f aca="false">IFERROR(INDEX(Wastage_Factors!$B$2:$B$60,MATCH(P289,Wastage_Factors!$A$2:$A$60,0)),0)</f>
        <v>0.08</v>
      </c>
      <c r="R289" s="6" t="s">
        <v>938</v>
      </c>
      <c r="S289" s="6" t="s">
        <v>99</v>
      </c>
      <c r="T289" s="6" t="s">
        <v>1169</v>
      </c>
      <c r="U289" s="6" t="s">
        <v>2307</v>
      </c>
      <c r="V289" s="6"/>
    </row>
    <row r="290" customFormat="false" ht="22.35" hidden="false" customHeight="false" outlineLevel="0" collapsed="false">
      <c r="A290" s="6" t="s">
        <v>2308</v>
      </c>
      <c r="B290" s="6" t="s">
        <v>2232</v>
      </c>
      <c r="C290" s="6" t="s">
        <v>2309</v>
      </c>
      <c r="D290" s="6" t="s">
        <v>2310</v>
      </c>
      <c r="E290" s="6" t="s">
        <v>2311</v>
      </c>
      <c r="F290" s="6" t="s">
        <v>77</v>
      </c>
      <c r="G290" s="6" t="s">
        <v>2312</v>
      </c>
      <c r="H290" s="6" t="s">
        <v>2313</v>
      </c>
      <c r="I290" s="6" t="s">
        <v>2314</v>
      </c>
      <c r="J290" s="6"/>
      <c r="K290" s="6" t="s">
        <v>567</v>
      </c>
      <c r="L290" s="6" t="s">
        <v>83</v>
      </c>
      <c r="M290" s="6" t="s">
        <v>77</v>
      </c>
      <c r="N290" s="6" t="s">
        <v>1867</v>
      </c>
      <c r="O290" s="6"/>
      <c r="P290" s="6" t="s">
        <v>422</v>
      </c>
      <c r="Q290" s="7" t="n">
        <f aca="false">IFERROR(INDEX(Wastage_Factors!$B$2:$B$60,MATCH(P290,Wastage_Factors!$A$2:$A$60,0)),0)</f>
        <v>0.05</v>
      </c>
      <c r="R290" s="6" t="s">
        <v>938</v>
      </c>
      <c r="S290" s="6" t="s">
        <v>99</v>
      </c>
      <c r="T290" s="6" t="s">
        <v>1169</v>
      </c>
      <c r="U290" s="6" t="s">
        <v>2315</v>
      </c>
      <c r="V290" s="6"/>
    </row>
    <row r="291" customFormat="false" ht="15" hidden="false" customHeight="false" outlineLevel="0" collapsed="false">
      <c r="A291" s="6" t="s">
        <v>2316</v>
      </c>
      <c r="B291" s="6" t="s">
        <v>2232</v>
      </c>
      <c r="C291" s="6" t="s">
        <v>2317</v>
      </c>
      <c r="D291" s="6" t="s">
        <v>2318</v>
      </c>
      <c r="E291" s="6" t="s">
        <v>2319</v>
      </c>
      <c r="F291" s="6" t="s">
        <v>182</v>
      </c>
      <c r="G291" s="6" t="s">
        <v>2320</v>
      </c>
      <c r="H291" s="6" t="s">
        <v>2321</v>
      </c>
      <c r="I291" s="6" t="s">
        <v>83</v>
      </c>
      <c r="J291" s="6"/>
      <c r="K291" s="6" t="s">
        <v>567</v>
      </c>
      <c r="L291" s="6" t="s">
        <v>83</v>
      </c>
      <c r="M291" s="6" t="s">
        <v>182</v>
      </c>
      <c r="N291" s="6" t="s">
        <v>803</v>
      </c>
      <c r="O291" s="6"/>
      <c r="P291" s="6" t="s">
        <v>184</v>
      </c>
      <c r="Q291" s="7" t="n">
        <f aca="false">IFERROR(INDEX(Wastage_Factors!$B$2:$B$60,MATCH(P291,Wastage_Factors!$A$2:$A$60,0)),0)</f>
        <v>0.05</v>
      </c>
      <c r="R291" s="6" t="s">
        <v>202</v>
      </c>
      <c r="S291" s="6" t="s">
        <v>87</v>
      </c>
      <c r="T291" s="6" t="s">
        <v>88</v>
      </c>
      <c r="U291" s="6" t="s">
        <v>83</v>
      </c>
      <c r="V291" s="6"/>
    </row>
    <row r="292" customFormat="false" ht="22.35" hidden="false" customHeight="false" outlineLevel="0" collapsed="false">
      <c r="A292" s="6" t="s">
        <v>2322</v>
      </c>
      <c r="B292" s="6" t="s">
        <v>2323</v>
      </c>
      <c r="C292" s="6" t="s">
        <v>2324</v>
      </c>
      <c r="D292" s="6" t="s">
        <v>2325</v>
      </c>
      <c r="E292" s="6" t="s">
        <v>2326</v>
      </c>
      <c r="F292" s="6" t="s">
        <v>77</v>
      </c>
      <c r="G292" s="6" t="s">
        <v>2327</v>
      </c>
      <c r="H292" s="6" t="s">
        <v>2328</v>
      </c>
      <c r="I292" s="6" t="s">
        <v>2329</v>
      </c>
      <c r="J292" s="6" t="s">
        <v>2330</v>
      </c>
      <c r="K292" s="6" t="s">
        <v>567</v>
      </c>
      <c r="L292" s="6" t="s">
        <v>83</v>
      </c>
      <c r="M292" s="6" t="s">
        <v>77</v>
      </c>
      <c r="N292" s="6" t="s">
        <v>149</v>
      </c>
      <c r="O292" s="6" t="s">
        <v>2331</v>
      </c>
      <c r="P292" s="6" t="s">
        <v>1490</v>
      </c>
      <c r="Q292" s="7" t="n">
        <f aca="false">IFERROR(INDEX(Wastage_Factors!$B$2:$B$60,MATCH(P292,Wastage_Factors!$A$2:$A$60,0)),0)</f>
        <v>0.05</v>
      </c>
      <c r="R292" s="6" t="s">
        <v>202</v>
      </c>
      <c r="S292" s="6" t="s">
        <v>193</v>
      </c>
      <c r="T292" s="6" t="s">
        <v>88</v>
      </c>
      <c r="U292" s="6" t="s">
        <v>88</v>
      </c>
      <c r="V292" s="6"/>
    </row>
    <row r="293" customFormat="false" ht="22.35" hidden="false" customHeight="false" outlineLevel="0" collapsed="false">
      <c r="A293" s="6" t="s">
        <v>2332</v>
      </c>
      <c r="B293" s="6" t="s">
        <v>2323</v>
      </c>
      <c r="C293" s="6" t="s">
        <v>2324</v>
      </c>
      <c r="D293" s="6" t="s">
        <v>2333</v>
      </c>
      <c r="E293" s="6" t="s">
        <v>2334</v>
      </c>
      <c r="F293" s="6" t="s">
        <v>143</v>
      </c>
      <c r="G293" s="6" t="s">
        <v>2335</v>
      </c>
      <c r="H293" s="6" t="s">
        <v>2328</v>
      </c>
      <c r="I293" s="6" t="s">
        <v>2336</v>
      </c>
      <c r="J293" s="6"/>
      <c r="K293" s="6" t="s">
        <v>567</v>
      </c>
      <c r="L293" s="6" t="s">
        <v>83</v>
      </c>
      <c r="M293" s="6" t="s">
        <v>143</v>
      </c>
      <c r="N293" s="6" t="s">
        <v>149</v>
      </c>
      <c r="O293" s="6" t="s">
        <v>2331</v>
      </c>
      <c r="P293" s="6" t="s">
        <v>201</v>
      </c>
      <c r="Q293" s="7" t="n">
        <f aca="false">IFERROR(INDEX(Wastage_Factors!$B$2:$B$60,MATCH(P293,Wastage_Factors!$A$2:$A$60,0)),0)</f>
        <v>0.075</v>
      </c>
      <c r="R293" s="6" t="s">
        <v>202</v>
      </c>
      <c r="S293" s="6" t="s">
        <v>193</v>
      </c>
      <c r="T293" s="6" t="s">
        <v>88</v>
      </c>
      <c r="U293" s="6" t="s">
        <v>88</v>
      </c>
      <c r="V293" s="6"/>
    </row>
    <row r="294" customFormat="false" ht="22.35" hidden="false" customHeight="false" outlineLevel="0" collapsed="false">
      <c r="A294" s="6" t="s">
        <v>2337</v>
      </c>
      <c r="B294" s="6" t="s">
        <v>2323</v>
      </c>
      <c r="C294" s="6" t="s">
        <v>2324</v>
      </c>
      <c r="D294" s="6" t="s">
        <v>2338</v>
      </c>
      <c r="E294" s="6" t="s">
        <v>2339</v>
      </c>
      <c r="F294" s="6" t="s">
        <v>115</v>
      </c>
      <c r="G294" s="6" t="s">
        <v>2340</v>
      </c>
      <c r="H294" s="6" t="s">
        <v>2328</v>
      </c>
      <c r="I294" s="6" t="s">
        <v>2336</v>
      </c>
      <c r="J294" s="6"/>
      <c r="K294" s="6" t="s">
        <v>567</v>
      </c>
      <c r="L294" s="6" t="s">
        <v>83</v>
      </c>
      <c r="M294" s="6" t="s">
        <v>115</v>
      </c>
      <c r="N294" s="6" t="s">
        <v>149</v>
      </c>
      <c r="O294" s="6" t="s">
        <v>2331</v>
      </c>
      <c r="P294" s="6" t="s">
        <v>85</v>
      </c>
      <c r="Q294" s="7" t="n">
        <f aca="false">IFERROR(INDEX(Wastage_Factors!$B$2:$B$60,MATCH(P294,Wastage_Factors!$A$2:$A$60,0)),0)</f>
        <v>0</v>
      </c>
      <c r="R294" s="6" t="s">
        <v>202</v>
      </c>
      <c r="S294" s="6" t="s">
        <v>193</v>
      </c>
      <c r="T294" s="6" t="s">
        <v>88</v>
      </c>
      <c r="U294" s="6" t="s">
        <v>88</v>
      </c>
      <c r="V294" s="6"/>
    </row>
    <row r="295" customFormat="false" ht="22.35" hidden="false" customHeight="false" outlineLevel="0" collapsed="false">
      <c r="A295" s="6" t="s">
        <v>2341</v>
      </c>
      <c r="B295" s="6" t="s">
        <v>2323</v>
      </c>
      <c r="C295" s="6" t="s">
        <v>2324</v>
      </c>
      <c r="D295" s="6" t="s">
        <v>2342</v>
      </c>
      <c r="E295" s="6" t="s">
        <v>1558</v>
      </c>
      <c r="F295" s="6" t="s">
        <v>115</v>
      </c>
      <c r="G295" s="6" t="s">
        <v>2343</v>
      </c>
      <c r="H295" s="6" t="s">
        <v>2328</v>
      </c>
      <c r="I295" s="6" t="s">
        <v>2336</v>
      </c>
      <c r="J295" s="6"/>
      <c r="K295" s="6" t="s">
        <v>567</v>
      </c>
      <c r="L295" s="6" t="s">
        <v>83</v>
      </c>
      <c r="M295" s="6" t="s">
        <v>115</v>
      </c>
      <c r="N295" s="6" t="s">
        <v>149</v>
      </c>
      <c r="O295" s="6" t="s">
        <v>2331</v>
      </c>
      <c r="P295" s="6" t="s">
        <v>85</v>
      </c>
      <c r="Q295" s="7" t="n">
        <f aca="false">IFERROR(INDEX(Wastage_Factors!$B$2:$B$60,MATCH(P295,Wastage_Factors!$A$2:$A$60,0)),0)</f>
        <v>0</v>
      </c>
      <c r="R295" s="6" t="s">
        <v>202</v>
      </c>
      <c r="S295" s="6" t="s">
        <v>193</v>
      </c>
      <c r="T295" s="6" t="s">
        <v>88</v>
      </c>
      <c r="U295" s="6" t="s">
        <v>88</v>
      </c>
      <c r="V295" s="6"/>
    </row>
    <row r="296" customFormat="false" ht="15" hidden="false" customHeight="false" outlineLevel="0" collapsed="false">
      <c r="A296" s="6" t="s">
        <v>2344</v>
      </c>
      <c r="B296" s="6" t="s">
        <v>2323</v>
      </c>
      <c r="C296" s="6" t="s">
        <v>2324</v>
      </c>
      <c r="D296" s="6" t="s">
        <v>2345</v>
      </c>
      <c r="E296" s="6" t="s">
        <v>2346</v>
      </c>
      <c r="F296" s="6" t="s">
        <v>77</v>
      </c>
      <c r="G296" s="6" t="s">
        <v>2324</v>
      </c>
      <c r="H296" s="6" t="s">
        <v>2347</v>
      </c>
      <c r="I296" s="6" t="s">
        <v>2348</v>
      </c>
      <c r="J296" s="6" t="s">
        <v>2349</v>
      </c>
      <c r="K296" s="6" t="s">
        <v>567</v>
      </c>
      <c r="L296" s="6" t="s">
        <v>83</v>
      </c>
      <c r="M296" s="6" t="s">
        <v>77</v>
      </c>
      <c r="N296" s="6" t="s">
        <v>2350</v>
      </c>
      <c r="O296" s="6"/>
      <c r="P296" s="6" t="s">
        <v>85</v>
      </c>
      <c r="Q296" s="7" t="n">
        <f aca="false">IFERROR(INDEX(Wastage_Factors!$B$2:$B$60,MATCH(P296,Wastage_Factors!$A$2:$A$60,0)),0)</f>
        <v>0</v>
      </c>
      <c r="R296" s="6" t="s">
        <v>202</v>
      </c>
      <c r="S296" s="6" t="s">
        <v>193</v>
      </c>
      <c r="T296" s="6" t="s">
        <v>88</v>
      </c>
      <c r="U296" s="6" t="s">
        <v>83</v>
      </c>
      <c r="V296" s="6"/>
    </row>
    <row r="297" customFormat="false" ht="15" hidden="false" customHeight="false" outlineLevel="0" collapsed="false">
      <c r="A297" s="6" t="s">
        <v>2351</v>
      </c>
      <c r="B297" s="6" t="s">
        <v>2323</v>
      </c>
      <c r="C297" s="6" t="s">
        <v>2352</v>
      </c>
      <c r="D297" s="6" t="s">
        <v>2353</v>
      </c>
      <c r="E297" s="6" t="s">
        <v>83</v>
      </c>
      <c r="F297" s="6" t="s">
        <v>77</v>
      </c>
      <c r="G297" s="6" t="s">
        <v>2354</v>
      </c>
      <c r="H297" s="6" t="s">
        <v>2355</v>
      </c>
      <c r="I297" s="6" t="s">
        <v>705</v>
      </c>
      <c r="J297" s="6"/>
      <c r="K297" s="6" t="s">
        <v>567</v>
      </c>
      <c r="L297" s="6" t="s">
        <v>83</v>
      </c>
      <c r="M297" s="6" t="s">
        <v>77</v>
      </c>
      <c r="N297" s="6" t="s">
        <v>1867</v>
      </c>
      <c r="O297" s="6"/>
      <c r="P297" s="6" t="s">
        <v>1490</v>
      </c>
      <c r="Q297" s="7" t="n">
        <f aca="false">IFERROR(INDEX(Wastage_Factors!$B$2:$B$60,MATCH(P297,Wastage_Factors!$A$2:$A$60,0)),0)</f>
        <v>0.05</v>
      </c>
      <c r="R297" s="6" t="s">
        <v>202</v>
      </c>
      <c r="S297" s="6" t="s">
        <v>193</v>
      </c>
      <c r="T297" s="6" t="s">
        <v>88</v>
      </c>
      <c r="U297" s="6" t="s">
        <v>83</v>
      </c>
      <c r="V297" s="6"/>
    </row>
    <row r="298" customFormat="false" ht="22.35" hidden="false" customHeight="false" outlineLevel="0" collapsed="false">
      <c r="A298" s="6" t="s">
        <v>2356</v>
      </c>
      <c r="B298" s="6" t="s">
        <v>2323</v>
      </c>
      <c r="C298" s="6" t="s">
        <v>2324</v>
      </c>
      <c r="D298" s="6" t="s">
        <v>2357</v>
      </c>
      <c r="E298" s="6" t="s">
        <v>2358</v>
      </c>
      <c r="F298" s="6" t="s">
        <v>77</v>
      </c>
      <c r="G298" s="6" t="s">
        <v>2359</v>
      </c>
      <c r="H298" s="6" t="s">
        <v>2328</v>
      </c>
      <c r="I298" s="6" t="s">
        <v>2360</v>
      </c>
      <c r="J298" s="6"/>
      <c r="K298" s="6" t="s">
        <v>567</v>
      </c>
      <c r="L298" s="6" t="s">
        <v>83</v>
      </c>
      <c r="M298" s="6" t="s">
        <v>77</v>
      </c>
      <c r="N298" s="6" t="s">
        <v>149</v>
      </c>
      <c r="O298" s="6" t="s">
        <v>2331</v>
      </c>
      <c r="P298" s="6" t="s">
        <v>1490</v>
      </c>
      <c r="Q298" s="7" t="n">
        <f aca="false">IFERROR(INDEX(Wastage_Factors!$B$2:$B$60,MATCH(P298,Wastage_Factors!$A$2:$A$60,0)),0)</f>
        <v>0.05</v>
      </c>
      <c r="R298" s="6" t="s">
        <v>202</v>
      </c>
      <c r="S298" s="6" t="s">
        <v>193</v>
      </c>
      <c r="T298" s="6" t="s">
        <v>88</v>
      </c>
      <c r="U298" s="6" t="s">
        <v>88</v>
      </c>
      <c r="V298" s="6"/>
    </row>
    <row r="299" customFormat="false" ht="22.35" hidden="false" customHeight="false" outlineLevel="0" collapsed="false">
      <c r="A299" s="6" t="s">
        <v>2361</v>
      </c>
      <c r="B299" s="6" t="s">
        <v>2362</v>
      </c>
      <c r="C299" s="6" t="s">
        <v>2363</v>
      </c>
      <c r="D299" s="6" t="s">
        <v>2364</v>
      </c>
      <c r="E299" s="6" t="s">
        <v>2365</v>
      </c>
      <c r="F299" s="6" t="s">
        <v>115</v>
      </c>
      <c r="G299" s="6" t="s">
        <v>2366</v>
      </c>
      <c r="H299" s="6" t="s">
        <v>2367</v>
      </c>
      <c r="I299" s="6" t="s">
        <v>2368</v>
      </c>
      <c r="J299" s="6"/>
      <c r="K299" s="6" t="s">
        <v>82</v>
      </c>
      <c r="L299" s="6" t="s">
        <v>2365</v>
      </c>
      <c r="M299" s="6" t="s">
        <v>115</v>
      </c>
      <c r="N299" s="6" t="s">
        <v>1066</v>
      </c>
      <c r="O299" s="6"/>
      <c r="P299" s="6" t="s">
        <v>85</v>
      </c>
      <c r="Q299" s="7" t="n">
        <f aca="false">IFERROR(INDEX(Wastage_Factors!$B$2:$B$60,MATCH(P299,Wastage_Factors!$A$2:$A$60,0)),0)</f>
        <v>0</v>
      </c>
      <c r="R299" s="6" t="s">
        <v>1218</v>
      </c>
      <c r="S299" s="6" t="s">
        <v>122</v>
      </c>
      <c r="T299" s="6" t="s">
        <v>88</v>
      </c>
      <c r="U299" s="6" t="s">
        <v>83</v>
      </c>
      <c r="V299" s="6"/>
    </row>
    <row r="300" customFormat="false" ht="22.35" hidden="false" customHeight="false" outlineLevel="0" collapsed="false">
      <c r="A300" s="6" t="s">
        <v>2369</v>
      </c>
      <c r="B300" s="6" t="s">
        <v>2362</v>
      </c>
      <c r="C300" s="6" t="s">
        <v>2370</v>
      </c>
      <c r="D300" s="6" t="s">
        <v>2371</v>
      </c>
      <c r="E300" s="6" t="s">
        <v>83</v>
      </c>
      <c r="F300" s="6" t="s">
        <v>115</v>
      </c>
      <c r="G300" s="6" t="s">
        <v>2372</v>
      </c>
      <c r="H300" s="6" t="s">
        <v>2373</v>
      </c>
      <c r="I300" s="6" t="s">
        <v>2374</v>
      </c>
      <c r="J300" s="6"/>
      <c r="K300" s="6" t="s">
        <v>82</v>
      </c>
      <c r="L300" s="6" t="s">
        <v>83</v>
      </c>
      <c r="M300" s="6" t="s">
        <v>115</v>
      </c>
      <c r="N300" s="6" t="s">
        <v>2375</v>
      </c>
      <c r="O300" s="6"/>
      <c r="P300" s="6" t="s">
        <v>85</v>
      </c>
      <c r="Q300" s="7" t="n">
        <f aca="false">IFERROR(INDEX(Wastage_Factors!$B$2:$B$60,MATCH(P300,Wastage_Factors!$A$2:$A$60,0)),0)</f>
        <v>0</v>
      </c>
      <c r="R300" s="6" t="s">
        <v>1218</v>
      </c>
      <c r="S300" s="6" t="s">
        <v>122</v>
      </c>
      <c r="T300" s="6" t="s">
        <v>88</v>
      </c>
      <c r="U300" s="6" t="s">
        <v>83</v>
      </c>
      <c r="V300" s="6"/>
    </row>
    <row r="301" customFormat="false" ht="15" hidden="false" customHeight="false" outlineLevel="0" collapsed="false">
      <c r="A301" s="6" t="s">
        <v>2376</v>
      </c>
      <c r="B301" s="6" t="s">
        <v>2362</v>
      </c>
      <c r="C301" s="6" t="s">
        <v>2363</v>
      </c>
      <c r="D301" s="6" t="s">
        <v>2377</v>
      </c>
      <c r="E301" s="6" t="s">
        <v>83</v>
      </c>
      <c r="F301" s="6" t="s">
        <v>115</v>
      </c>
      <c r="G301" s="6" t="s">
        <v>2378</v>
      </c>
      <c r="H301" s="6" t="s">
        <v>2379</v>
      </c>
      <c r="I301" s="6" t="s">
        <v>83</v>
      </c>
      <c r="J301" s="6"/>
      <c r="K301" s="6" t="s">
        <v>82</v>
      </c>
      <c r="L301" s="6" t="s">
        <v>83</v>
      </c>
      <c r="M301" s="6" t="s">
        <v>115</v>
      </c>
      <c r="N301" s="6" t="s">
        <v>1271</v>
      </c>
      <c r="O301" s="6"/>
      <c r="P301" s="6" t="s">
        <v>85</v>
      </c>
      <c r="Q301" s="7" t="n">
        <f aca="false">IFERROR(INDEX(Wastage_Factors!$B$2:$B$60,MATCH(P301,Wastage_Factors!$A$2:$A$60,0)),0)</f>
        <v>0</v>
      </c>
      <c r="R301" s="6" t="s">
        <v>1218</v>
      </c>
      <c r="S301" s="6" t="s">
        <v>87</v>
      </c>
      <c r="T301" s="6" t="s">
        <v>88</v>
      </c>
      <c r="U301" s="6" t="s">
        <v>83</v>
      </c>
      <c r="V301" s="6"/>
    </row>
    <row r="302" customFormat="false" ht="22.35" hidden="false" customHeight="false" outlineLevel="0" collapsed="false">
      <c r="A302" s="6" t="s">
        <v>2380</v>
      </c>
      <c r="B302" s="6" t="s">
        <v>2381</v>
      </c>
      <c r="C302" s="6" t="s">
        <v>2382</v>
      </c>
      <c r="D302" s="6" t="s">
        <v>2383</v>
      </c>
      <c r="E302" s="6" t="s">
        <v>2384</v>
      </c>
      <c r="F302" s="6" t="s">
        <v>620</v>
      </c>
      <c r="G302" s="6" t="s">
        <v>2385</v>
      </c>
      <c r="H302" s="6" t="s">
        <v>2386</v>
      </c>
      <c r="I302" s="6" t="s">
        <v>2387</v>
      </c>
      <c r="J302" s="6" t="s">
        <v>2388</v>
      </c>
      <c r="K302" s="6" t="s">
        <v>82</v>
      </c>
      <c r="L302" s="6" t="s">
        <v>83</v>
      </c>
      <c r="M302" s="6" t="s">
        <v>620</v>
      </c>
      <c r="N302" s="6" t="s">
        <v>149</v>
      </c>
      <c r="O302" s="6" t="s">
        <v>2389</v>
      </c>
      <c r="P302" s="6" t="s">
        <v>85</v>
      </c>
      <c r="Q302" s="7" t="n">
        <f aca="false">IFERROR(INDEX(Wastage_Factors!$B$2:$B$60,MATCH(P302,Wastage_Factors!$A$2:$A$60,0)),0)</f>
        <v>0</v>
      </c>
      <c r="R302" s="6" t="s">
        <v>2390</v>
      </c>
      <c r="S302" s="6" t="s">
        <v>99</v>
      </c>
      <c r="T302" s="6" t="s">
        <v>88</v>
      </c>
      <c r="U302" s="6" t="s">
        <v>83</v>
      </c>
      <c r="V302" s="6"/>
    </row>
    <row r="303" customFormat="false" ht="22.35" hidden="false" customHeight="false" outlineLevel="0" collapsed="false">
      <c r="A303" s="6" t="s">
        <v>2391</v>
      </c>
      <c r="B303" s="6" t="s">
        <v>2381</v>
      </c>
      <c r="C303" s="6" t="s">
        <v>326</v>
      </c>
      <c r="D303" s="6" t="s">
        <v>2392</v>
      </c>
      <c r="E303" s="6" t="s">
        <v>83</v>
      </c>
      <c r="F303" s="6" t="s">
        <v>182</v>
      </c>
      <c r="G303" s="6" t="s">
        <v>2393</v>
      </c>
      <c r="H303" s="6" t="s">
        <v>2394</v>
      </c>
      <c r="I303" s="6" t="s">
        <v>2395</v>
      </c>
      <c r="J303" s="6"/>
      <c r="K303" s="6" t="s">
        <v>82</v>
      </c>
      <c r="L303" s="6" t="s">
        <v>83</v>
      </c>
      <c r="M303" s="6" t="s">
        <v>182</v>
      </c>
      <c r="N303" s="6" t="s">
        <v>2396</v>
      </c>
      <c r="O303" s="6"/>
      <c r="P303" s="6" t="s">
        <v>184</v>
      </c>
      <c r="Q303" s="7" t="n">
        <f aca="false">IFERROR(INDEX(Wastage_Factors!$B$2:$B$60,MATCH(P303,Wastage_Factors!$A$2:$A$60,0)),0)</f>
        <v>0.05</v>
      </c>
      <c r="R303" s="6" t="s">
        <v>1305</v>
      </c>
      <c r="S303" s="6" t="s">
        <v>87</v>
      </c>
      <c r="T303" s="6" t="s">
        <v>88</v>
      </c>
      <c r="U303" s="6" t="s">
        <v>83</v>
      </c>
      <c r="V303" s="6"/>
    </row>
    <row r="304" customFormat="false" ht="22.35" hidden="false" customHeight="false" outlineLevel="0" collapsed="false">
      <c r="A304" s="6" t="s">
        <v>2397</v>
      </c>
      <c r="B304" s="6" t="s">
        <v>2381</v>
      </c>
      <c r="C304" s="6" t="s">
        <v>467</v>
      </c>
      <c r="D304" s="6" t="s">
        <v>2398</v>
      </c>
      <c r="E304" s="6" t="s">
        <v>83</v>
      </c>
      <c r="F304" s="6" t="s">
        <v>94</v>
      </c>
      <c r="G304" s="6" t="s">
        <v>148</v>
      </c>
      <c r="H304" s="6" t="s">
        <v>2399</v>
      </c>
      <c r="I304" s="6" t="s">
        <v>83</v>
      </c>
      <c r="J304" s="6" t="s">
        <v>2400</v>
      </c>
      <c r="K304" s="6" t="s">
        <v>82</v>
      </c>
      <c r="L304" s="6" t="s">
        <v>83</v>
      </c>
      <c r="M304" s="6" t="s">
        <v>94</v>
      </c>
      <c r="N304" s="6" t="s">
        <v>83</v>
      </c>
      <c r="O304" s="6"/>
      <c r="P304" s="6" t="s">
        <v>85</v>
      </c>
      <c r="Q304" s="7" t="n">
        <f aca="false">IFERROR(INDEX(Wastage_Factors!$B$2:$B$60,MATCH(P304,Wastage_Factors!$A$2:$A$60,0)),0)</f>
        <v>0</v>
      </c>
      <c r="R304" s="6" t="s">
        <v>2401</v>
      </c>
      <c r="S304" s="6" t="s">
        <v>99</v>
      </c>
      <c r="T304" s="6" t="s">
        <v>88</v>
      </c>
      <c r="U304" s="6" t="s">
        <v>83</v>
      </c>
      <c r="V304" s="6"/>
    </row>
    <row r="305" customFormat="false" ht="22.35" hidden="false" customHeight="false" outlineLevel="0" collapsed="false">
      <c r="A305" s="6" t="s">
        <v>2402</v>
      </c>
      <c r="B305" s="6" t="s">
        <v>2381</v>
      </c>
      <c r="C305" s="6" t="s">
        <v>2403</v>
      </c>
      <c r="D305" s="6" t="s">
        <v>2404</v>
      </c>
      <c r="E305" s="6" t="s">
        <v>2405</v>
      </c>
      <c r="F305" s="6" t="s">
        <v>182</v>
      </c>
      <c r="G305" s="6" t="s">
        <v>2406</v>
      </c>
      <c r="H305" s="6" t="s">
        <v>2407</v>
      </c>
      <c r="I305" s="6" t="s">
        <v>2408</v>
      </c>
      <c r="J305" s="6" t="s">
        <v>2409</v>
      </c>
      <c r="K305" s="6" t="s">
        <v>82</v>
      </c>
      <c r="L305" s="6" t="s">
        <v>2410</v>
      </c>
      <c r="M305" s="6" t="s">
        <v>182</v>
      </c>
      <c r="N305" s="6" t="s">
        <v>2411</v>
      </c>
      <c r="O305" s="6"/>
      <c r="P305" s="6" t="s">
        <v>184</v>
      </c>
      <c r="Q305" s="7" t="n">
        <f aca="false">IFERROR(INDEX(Wastage_Factors!$B$2:$B$60,MATCH(P305,Wastage_Factors!$A$2:$A$60,0)),0)</f>
        <v>0.05</v>
      </c>
      <c r="R305" s="6" t="s">
        <v>132</v>
      </c>
      <c r="S305" s="6" t="s">
        <v>122</v>
      </c>
      <c r="T305" s="6" t="s">
        <v>88</v>
      </c>
      <c r="U305" s="6" t="s">
        <v>88</v>
      </c>
      <c r="V305" s="6"/>
    </row>
    <row r="306" customFormat="false" ht="22.35" hidden="false" customHeight="false" outlineLevel="0" collapsed="false">
      <c r="A306" s="6" t="s">
        <v>2412</v>
      </c>
      <c r="B306" s="6" t="s">
        <v>2381</v>
      </c>
      <c r="C306" s="6" t="s">
        <v>1817</v>
      </c>
      <c r="D306" s="6" t="s">
        <v>2413</v>
      </c>
      <c r="E306" s="6" t="s">
        <v>83</v>
      </c>
      <c r="F306" s="6" t="s">
        <v>182</v>
      </c>
      <c r="G306" s="6" t="s">
        <v>2414</v>
      </c>
      <c r="H306" s="6" t="s">
        <v>2415</v>
      </c>
      <c r="I306" s="6" t="s">
        <v>2416</v>
      </c>
      <c r="J306" s="6"/>
      <c r="K306" s="6" t="s">
        <v>82</v>
      </c>
      <c r="L306" s="6" t="s">
        <v>83</v>
      </c>
      <c r="M306" s="6" t="s">
        <v>182</v>
      </c>
      <c r="N306" s="6" t="s">
        <v>760</v>
      </c>
      <c r="O306" s="6"/>
      <c r="P306" s="6" t="s">
        <v>85</v>
      </c>
      <c r="Q306" s="7" t="n">
        <f aca="false">IFERROR(INDEX(Wastage_Factors!$B$2:$B$60,MATCH(P306,Wastage_Factors!$A$2:$A$60,0)),0)</f>
        <v>0</v>
      </c>
      <c r="R306" s="6" t="s">
        <v>244</v>
      </c>
      <c r="S306" s="6" t="s">
        <v>87</v>
      </c>
      <c r="T306" s="6" t="s">
        <v>88</v>
      </c>
      <c r="U306" s="6" t="s">
        <v>83</v>
      </c>
      <c r="V306" s="6"/>
    </row>
    <row r="307" customFormat="false" ht="22.35" hidden="false" customHeight="false" outlineLevel="0" collapsed="false">
      <c r="A307" s="6" t="s">
        <v>2417</v>
      </c>
      <c r="B307" s="6" t="s">
        <v>2381</v>
      </c>
      <c r="C307" s="6" t="s">
        <v>2418</v>
      </c>
      <c r="D307" s="6" t="s">
        <v>2419</v>
      </c>
      <c r="E307" s="6" t="s">
        <v>83</v>
      </c>
      <c r="F307" s="6" t="s">
        <v>94</v>
      </c>
      <c r="G307" s="6" t="s">
        <v>2420</v>
      </c>
      <c r="H307" s="6" t="s">
        <v>94</v>
      </c>
      <c r="I307" s="6" t="s">
        <v>83</v>
      </c>
      <c r="J307" s="6"/>
      <c r="K307" s="6" t="s">
        <v>82</v>
      </c>
      <c r="L307" s="6" t="s">
        <v>83</v>
      </c>
      <c r="M307" s="6" t="s">
        <v>94</v>
      </c>
      <c r="N307" s="6" t="s">
        <v>94</v>
      </c>
      <c r="O307" s="6"/>
      <c r="P307" s="6" t="s">
        <v>85</v>
      </c>
      <c r="Q307" s="7" t="n">
        <f aca="false">IFERROR(INDEX(Wastage_Factors!$B$2:$B$60,MATCH(P307,Wastage_Factors!$A$2:$A$60,0)),0)</f>
        <v>0</v>
      </c>
      <c r="R307" s="6" t="s">
        <v>1218</v>
      </c>
      <c r="S307" s="6" t="s">
        <v>99</v>
      </c>
      <c r="T307" s="6" t="s">
        <v>88</v>
      </c>
      <c r="U307" s="6" t="s">
        <v>83</v>
      </c>
      <c r="V307" s="6"/>
    </row>
    <row r="308" customFormat="false" ht="32.8" hidden="false" customHeight="false" outlineLevel="0" collapsed="false">
      <c r="A308" s="6" t="s">
        <v>2421</v>
      </c>
      <c r="B308" s="6" t="s">
        <v>2381</v>
      </c>
      <c r="C308" s="6" t="s">
        <v>2422</v>
      </c>
      <c r="D308" s="6" t="s">
        <v>2423</v>
      </c>
      <c r="E308" s="6" t="s">
        <v>2424</v>
      </c>
      <c r="F308" s="6" t="s">
        <v>94</v>
      </c>
      <c r="G308" s="6" t="s">
        <v>127</v>
      </c>
      <c r="H308" s="6" t="s">
        <v>2425</v>
      </c>
      <c r="I308" s="6" t="s">
        <v>2426</v>
      </c>
      <c r="J308" s="6"/>
      <c r="K308" s="6" t="s">
        <v>82</v>
      </c>
      <c r="L308" s="6" t="s">
        <v>83</v>
      </c>
      <c r="M308" s="6" t="s">
        <v>94</v>
      </c>
      <c r="N308" s="6" t="s">
        <v>94</v>
      </c>
      <c r="O308" s="6"/>
      <c r="P308" s="6" t="s">
        <v>85</v>
      </c>
      <c r="Q308" s="7" t="n">
        <f aca="false">IFERROR(INDEX(Wastage_Factors!$B$2:$B$60,MATCH(P308,Wastage_Factors!$A$2:$A$60,0)),0)</f>
        <v>0</v>
      </c>
      <c r="R308" s="6" t="s">
        <v>2427</v>
      </c>
      <c r="S308" s="6" t="s">
        <v>99</v>
      </c>
      <c r="T308" s="6" t="s">
        <v>225</v>
      </c>
      <c r="U308" s="6" t="s">
        <v>2428</v>
      </c>
      <c r="V308" s="6"/>
    </row>
    <row r="309" customFormat="false" ht="22.35" hidden="false" customHeight="false" outlineLevel="0" collapsed="false">
      <c r="A309" s="6" t="s">
        <v>2429</v>
      </c>
      <c r="B309" s="6" t="s">
        <v>2381</v>
      </c>
      <c r="C309" s="6" t="s">
        <v>2430</v>
      </c>
      <c r="D309" s="6" t="s">
        <v>2431</v>
      </c>
      <c r="E309" s="6" t="s">
        <v>83</v>
      </c>
      <c r="F309" s="6" t="s">
        <v>94</v>
      </c>
      <c r="G309" s="6" t="s">
        <v>2432</v>
      </c>
      <c r="H309" s="6" t="s">
        <v>2433</v>
      </c>
      <c r="I309" s="6" t="s">
        <v>83</v>
      </c>
      <c r="J309" s="6"/>
      <c r="K309" s="6" t="s">
        <v>82</v>
      </c>
      <c r="L309" s="6" t="s">
        <v>83</v>
      </c>
      <c r="M309" s="6" t="s">
        <v>94</v>
      </c>
      <c r="N309" s="6" t="s">
        <v>94</v>
      </c>
      <c r="O309" s="6"/>
      <c r="P309" s="6" t="s">
        <v>85</v>
      </c>
      <c r="Q309" s="7" t="n">
        <f aca="false">IFERROR(INDEX(Wastage_Factors!$B$2:$B$60,MATCH(P309,Wastage_Factors!$A$2:$A$60,0)),0)</f>
        <v>0</v>
      </c>
      <c r="R309" s="6" t="s">
        <v>86</v>
      </c>
      <c r="S309" s="6" t="s">
        <v>99</v>
      </c>
      <c r="T309" s="6" t="s">
        <v>88</v>
      </c>
      <c r="U309" s="6" t="s">
        <v>83</v>
      </c>
      <c r="V309" s="6"/>
    </row>
    <row r="310" customFormat="false" ht="22.35" hidden="false" customHeight="false" outlineLevel="0" collapsed="false">
      <c r="A310" s="6" t="s">
        <v>2434</v>
      </c>
      <c r="B310" s="6" t="s">
        <v>2381</v>
      </c>
      <c r="C310" s="6" t="s">
        <v>2435</v>
      </c>
      <c r="D310" s="6" t="s">
        <v>2436</v>
      </c>
      <c r="E310" s="6" t="s">
        <v>2437</v>
      </c>
      <c r="F310" s="6" t="s">
        <v>2438</v>
      </c>
      <c r="G310" s="6" t="s">
        <v>2439</v>
      </c>
      <c r="H310" s="6" t="s">
        <v>2440</v>
      </c>
      <c r="I310" s="6" t="s">
        <v>2441</v>
      </c>
      <c r="J310" s="6"/>
      <c r="K310" s="6" t="s">
        <v>82</v>
      </c>
      <c r="L310" s="6" t="s">
        <v>83</v>
      </c>
      <c r="M310" s="6" t="s">
        <v>2438</v>
      </c>
      <c r="N310" s="6" t="s">
        <v>2442</v>
      </c>
      <c r="O310" s="6"/>
      <c r="P310" s="6" t="s">
        <v>85</v>
      </c>
      <c r="Q310" s="7" t="n">
        <f aca="false">IFERROR(INDEX(Wastage_Factors!$B$2:$B$60,MATCH(P310,Wastage_Factors!$A$2:$A$60,0)),0)</f>
        <v>0</v>
      </c>
      <c r="R310" s="6" t="s">
        <v>2443</v>
      </c>
      <c r="S310" s="6" t="s">
        <v>99</v>
      </c>
      <c r="T310" s="6" t="s">
        <v>88</v>
      </c>
      <c r="U310" s="6" t="s">
        <v>83</v>
      </c>
      <c r="V310" s="6"/>
    </row>
  </sheetData>
  <autoFilter ref="A1:V3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4"/>
    <col collapsed="false" customWidth="true" hidden="false" outlineLevel="0" max="4" min="4" style="0" width="40"/>
    <col collapsed="false" customWidth="true" hidden="false" outlineLevel="0" max="6" min="5" style="0" width="7"/>
    <col collapsed="false" customWidth="true" hidden="false" outlineLevel="0" max="8" min="7" style="0" width="44"/>
    <col collapsed="false" customWidth="true" hidden="false" outlineLevel="0" max="10" min="9" style="0" width="28"/>
    <col collapsed="false" customWidth="true" hidden="false" outlineLevel="0" max="11" min="11" style="0" width="14"/>
    <col collapsed="false" customWidth="true" hidden="false" outlineLevel="0" max="12" min="12" style="0" width="8"/>
  </cols>
  <sheetData>
    <row r="1" customFormat="false" ht="31.5" hidden="false" customHeight="true" outlineLevel="0" collapsed="false">
      <c r="A1" s="4" t="s">
        <v>2444</v>
      </c>
      <c r="B1" s="4" t="s">
        <v>60</v>
      </c>
      <c r="C1" s="4" t="s">
        <v>2445</v>
      </c>
      <c r="D1" s="4" t="s">
        <v>2446</v>
      </c>
      <c r="E1" s="4" t="s">
        <v>2447</v>
      </c>
      <c r="F1" s="4" t="s">
        <v>2448</v>
      </c>
      <c r="G1" s="4" t="s">
        <v>2449</v>
      </c>
      <c r="H1" s="4" t="s">
        <v>2450</v>
      </c>
      <c r="I1" s="4" t="s">
        <v>58</v>
      </c>
      <c r="J1" s="4" t="s">
        <v>2451</v>
      </c>
      <c r="K1" s="4" t="s">
        <v>71</v>
      </c>
      <c r="L1" s="4" t="s">
        <v>2452</v>
      </c>
    </row>
    <row r="2" customFormat="false" ht="22.35" hidden="false" customHeight="false" outlineLevel="0" collapsed="false">
      <c r="A2" s="6" t="s">
        <v>2453</v>
      </c>
      <c r="B2" s="6" t="s">
        <v>82</v>
      </c>
      <c r="C2" s="6" t="s">
        <v>2454</v>
      </c>
      <c r="D2" s="6" t="s">
        <v>2455</v>
      </c>
      <c r="E2" s="6" t="s">
        <v>94</v>
      </c>
      <c r="F2" s="6" t="s">
        <v>94</v>
      </c>
      <c r="G2" s="6" t="s">
        <v>2456</v>
      </c>
      <c r="H2" s="6" t="s">
        <v>94</v>
      </c>
      <c r="I2" s="6" t="s">
        <v>2457</v>
      </c>
      <c r="J2" s="6" t="s">
        <v>2458</v>
      </c>
      <c r="K2" s="6" t="s">
        <v>2459</v>
      </c>
      <c r="L2" s="6" t="n">
        <f aca="false">COUNTIF(Recipes!$A$2:$A$1000,A2)</f>
        <v>0</v>
      </c>
    </row>
    <row r="3" customFormat="false" ht="15" hidden="false" customHeight="false" outlineLevel="0" collapsed="false">
      <c r="A3" s="6" t="s">
        <v>2389</v>
      </c>
      <c r="B3" s="6" t="s">
        <v>82</v>
      </c>
      <c r="C3" s="6" t="s">
        <v>2454</v>
      </c>
      <c r="D3" s="6" t="s">
        <v>2460</v>
      </c>
      <c r="E3" s="6" t="s">
        <v>620</v>
      </c>
      <c r="F3" s="6" t="s">
        <v>176</v>
      </c>
      <c r="G3" s="6" t="s">
        <v>2461</v>
      </c>
      <c r="H3" s="6" t="s">
        <v>2462</v>
      </c>
      <c r="I3" s="6" t="s">
        <v>219</v>
      </c>
      <c r="J3" s="6" t="s">
        <v>2463</v>
      </c>
      <c r="K3" s="6"/>
      <c r="L3" s="6" t="n">
        <f aca="false">COUNTIF(Recipes!$A$2:$A$1000,A3)</f>
        <v>1</v>
      </c>
    </row>
    <row r="4" customFormat="false" ht="32.8" hidden="false" customHeight="false" outlineLevel="0" collapsed="false">
      <c r="A4" s="6" t="s">
        <v>2464</v>
      </c>
      <c r="B4" s="6" t="s">
        <v>148</v>
      </c>
      <c r="C4" s="6" t="s">
        <v>2465</v>
      </c>
      <c r="D4" s="6" t="s">
        <v>2466</v>
      </c>
      <c r="E4" s="6" t="s">
        <v>143</v>
      </c>
      <c r="F4" s="6" t="s">
        <v>304</v>
      </c>
      <c r="G4" s="6" t="s">
        <v>2467</v>
      </c>
      <c r="H4" s="6" t="s">
        <v>2468</v>
      </c>
      <c r="I4" s="6" t="s">
        <v>2469</v>
      </c>
      <c r="J4" s="6" t="s">
        <v>2470</v>
      </c>
      <c r="K4" s="6" t="s">
        <v>2471</v>
      </c>
      <c r="L4" s="6" t="n">
        <f aca="false">COUNTIF(Recipes!$A$2:$A$1000,A4)</f>
        <v>0</v>
      </c>
    </row>
    <row r="5" customFormat="false" ht="32.8" hidden="false" customHeight="false" outlineLevel="0" collapsed="false">
      <c r="A5" s="6" t="s">
        <v>2472</v>
      </c>
      <c r="B5" s="6" t="s">
        <v>148</v>
      </c>
      <c r="C5" s="6" t="s">
        <v>2465</v>
      </c>
      <c r="D5" s="6" t="s">
        <v>2473</v>
      </c>
      <c r="E5" s="6" t="s">
        <v>143</v>
      </c>
      <c r="F5" s="6" t="s">
        <v>304</v>
      </c>
      <c r="G5" s="6" t="s">
        <v>2474</v>
      </c>
      <c r="H5" s="6" t="s">
        <v>2475</v>
      </c>
      <c r="I5" s="6" t="s">
        <v>2476</v>
      </c>
      <c r="J5" s="6"/>
      <c r="K5" s="6" t="s">
        <v>2471</v>
      </c>
      <c r="L5" s="6" t="n">
        <f aca="false">COUNTIF(Recipes!$A$2:$A$1000,A5)</f>
        <v>0</v>
      </c>
    </row>
    <row r="6" customFormat="false" ht="22.35" hidden="false" customHeight="false" outlineLevel="0" collapsed="false">
      <c r="A6" s="6" t="s">
        <v>2477</v>
      </c>
      <c r="B6" s="6" t="s">
        <v>689</v>
      </c>
      <c r="C6" s="6" t="s">
        <v>2465</v>
      </c>
      <c r="D6" s="6" t="s">
        <v>2478</v>
      </c>
      <c r="E6" s="6" t="s">
        <v>143</v>
      </c>
      <c r="F6" s="6" t="s">
        <v>304</v>
      </c>
      <c r="G6" s="6" t="s">
        <v>2479</v>
      </c>
      <c r="H6" s="6" t="s">
        <v>2480</v>
      </c>
      <c r="I6" s="6" t="s">
        <v>2481</v>
      </c>
      <c r="J6" s="6"/>
      <c r="K6" s="6"/>
      <c r="L6" s="6" t="n">
        <f aca="false">COUNTIF(Recipes!$A$2:$A$1000,A6)</f>
        <v>0</v>
      </c>
    </row>
    <row r="7" customFormat="false" ht="22.35" hidden="false" customHeight="false" outlineLevel="0" collapsed="false">
      <c r="A7" s="6" t="s">
        <v>2482</v>
      </c>
      <c r="B7" s="6" t="s">
        <v>148</v>
      </c>
      <c r="C7" s="6" t="s">
        <v>2465</v>
      </c>
      <c r="D7" s="6" t="s">
        <v>2483</v>
      </c>
      <c r="E7" s="6" t="s">
        <v>143</v>
      </c>
      <c r="F7" s="6" t="s">
        <v>304</v>
      </c>
      <c r="G7" s="6" t="s">
        <v>2484</v>
      </c>
      <c r="H7" s="6" t="s">
        <v>2485</v>
      </c>
      <c r="I7" s="6" t="s">
        <v>2486</v>
      </c>
      <c r="J7" s="6"/>
      <c r="K7" s="6" t="s">
        <v>2487</v>
      </c>
      <c r="L7" s="6" t="n">
        <f aca="false">COUNTIF(Recipes!$A$2:$A$1000,A7)</f>
        <v>0</v>
      </c>
    </row>
    <row r="8" customFormat="false" ht="22.35" hidden="false" customHeight="false" outlineLevel="0" collapsed="false">
      <c r="A8" s="6" t="s">
        <v>160</v>
      </c>
      <c r="B8" s="6" t="s">
        <v>148</v>
      </c>
      <c r="C8" s="6" t="s">
        <v>2465</v>
      </c>
      <c r="D8" s="6" t="s">
        <v>2488</v>
      </c>
      <c r="E8" s="6" t="s">
        <v>143</v>
      </c>
      <c r="F8" s="6" t="s">
        <v>304</v>
      </c>
      <c r="G8" s="6" t="s">
        <v>2489</v>
      </c>
      <c r="H8" s="6" t="s">
        <v>2490</v>
      </c>
      <c r="I8" s="6" t="s">
        <v>2491</v>
      </c>
      <c r="J8" s="6" t="s">
        <v>2492</v>
      </c>
      <c r="K8" s="6" t="s">
        <v>163</v>
      </c>
      <c r="L8" s="6" t="n">
        <f aca="false">COUNTIF(Recipes!$A$2:$A$1000,A8)</f>
        <v>1</v>
      </c>
    </row>
    <row r="9" customFormat="false" ht="15" hidden="false" customHeight="false" outlineLevel="0" collapsed="false">
      <c r="A9" s="6" t="s">
        <v>170</v>
      </c>
      <c r="B9" s="6" t="s">
        <v>148</v>
      </c>
      <c r="C9" s="6" t="s">
        <v>2465</v>
      </c>
      <c r="D9" s="6" t="s">
        <v>2493</v>
      </c>
      <c r="E9" s="6" t="s">
        <v>143</v>
      </c>
      <c r="F9" s="6" t="s">
        <v>304</v>
      </c>
      <c r="G9" s="6" t="s">
        <v>2494</v>
      </c>
      <c r="H9" s="6" t="s">
        <v>2495</v>
      </c>
      <c r="I9" s="6" t="s">
        <v>2496</v>
      </c>
      <c r="J9" s="6" t="s">
        <v>2497</v>
      </c>
      <c r="K9" s="6"/>
      <c r="L9" s="6" t="n">
        <f aca="false">COUNTIF(Recipes!$A$2:$A$1000,A9)</f>
        <v>1</v>
      </c>
    </row>
    <row r="10" customFormat="false" ht="22.35" hidden="false" customHeight="false" outlineLevel="0" collapsed="false">
      <c r="A10" s="6" t="s">
        <v>183</v>
      </c>
      <c r="B10" s="6" t="s">
        <v>148</v>
      </c>
      <c r="C10" s="6" t="s">
        <v>2465</v>
      </c>
      <c r="D10" s="6" t="s">
        <v>2498</v>
      </c>
      <c r="E10" s="6" t="s">
        <v>182</v>
      </c>
      <c r="F10" s="6" t="s">
        <v>2499</v>
      </c>
      <c r="G10" s="6" t="s">
        <v>2500</v>
      </c>
      <c r="H10" s="6" t="s">
        <v>2501</v>
      </c>
      <c r="I10" s="6" t="s">
        <v>2486</v>
      </c>
      <c r="J10" s="6" t="s">
        <v>2502</v>
      </c>
      <c r="K10" s="6" t="s">
        <v>185</v>
      </c>
      <c r="L10" s="6" t="n">
        <f aca="false">COUNTIF(Recipes!$A$2:$A$1000,A10)</f>
        <v>1</v>
      </c>
    </row>
    <row r="11" customFormat="false" ht="15" hidden="false" customHeight="false" outlineLevel="0" collapsed="false">
      <c r="A11" s="6" t="s">
        <v>209</v>
      </c>
      <c r="B11" s="6" t="s">
        <v>148</v>
      </c>
      <c r="C11" s="6" t="s">
        <v>2465</v>
      </c>
      <c r="D11" s="6" t="s">
        <v>2503</v>
      </c>
      <c r="E11" s="6" t="s">
        <v>182</v>
      </c>
      <c r="F11" s="6" t="s">
        <v>2499</v>
      </c>
      <c r="G11" s="6" t="s">
        <v>2504</v>
      </c>
      <c r="H11" s="6" t="s">
        <v>2505</v>
      </c>
      <c r="I11" s="6" t="s">
        <v>2496</v>
      </c>
      <c r="J11" s="6" t="s">
        <v>626</v>
      </c>
      <c r="K11" s="6"/>
      <c r="L11" s="6" t="n">
        <f aca="false">COUNTIF(Recipes!$A$2:$A$1000,A11)</f>
        <v>1</v>
      </c>
    </row>
    <row r="12" customFormat="false" ht="22.35" hidden="false" customHeight="false" outlineLevel="0" collapsed="false">
      <c r="A12" s="6" t="s">
        <v>150</v>
      </c>
      <c r="B12" s="6" t="s">
        <v>148</v>
      </c>
      <c r="C12" s="6" t="s">
        <v>2465</v>
      </c>
      <c r="D12" s="6" t="s">
        <v>2506</v>
      </c>
      <c r="E12" s="6" t="s">
        <v>143</v>
      </c>
      <c r="F12" s="6" t="s">
        <v>304</v>
      </c>
      <c r="G12" s="6" t="s">
        <v>2507</v>
      </c>
      <c r="H12" s="6" t="s">
        <v>2508</v>
      </c>
      <c r="I12" s="6" t="s">
        <v>2486</v>
      </c>
      <c r="J12" s="6"/>
      <c r="K12" s="6"/>
      <c r="L12" s="6" t="n">
        <f aca="false">COUNTIF(Recipes!$A$2:$A$1000,A12)</f>
        <v>1</v>
      </c>
    </row>
    <row r="13" customFormat="false" ht="22.35" hidden="false" customHeight="false" outlineLevel="0" collapsed="false">
      <c r="A13" s="6" t="s">
        <v>2509</v>
      </c>
      <c r="B13" s="6" t="s">
        <v>148</v>
      </c>
      <c r="C13" s="6" t="s">
        <v>2510</v>
      </c>
      <c r="D13" s="6" t="s">
        <v>2511</v>
      </c>
      <c r="E13" s="6" t="s">
        <v>143</v>
      </c>
      <c r="F13" s="6" t="s">
        <v>304</v>
      </c>
      <c r="G13" s="6" t="s">
        <v>2512</v>
      </c>
      <c r="H13" s="6" t="s">
        <v>2513</v>
      </c>
      <c r="I13" s="6" t="s">
        <v>2514</v>
      </c>
      <c r="J13" s="6" t="s">
        <v>2515</v>
      </c>
      <c r="K13" s="6" t="s">
        <v>2516</v>
      </c>
      <c r="L13" s="6" t="n">
        <f aca="false">COUNTIF(Recipes!$A$2:$A$1000,A13)</f>
        <v>3</v>
      </c>
    </row>
    <row r="14" customFormat="false" ht="15" hidden="false" customHeight="false" outlineLevel="0" collapsed="false">
      <c r="A14" s="6" t="s">
        <v>2517</v>
      </c>
      <c r="B14" s="6" t="s">
        <v>148</v>
      </c>
      <c r="C14" s="6" t="s">
        <v>2510</v>
      </c>
      <c r="D14" s="6" t="s">
        <v>2518</v>
      </c>
      <c r="E14" s="6" t="s">
        <v>143</v>
      </c>
      <c r="F14" s="6" t="s">
        <v>304</v>
      </c>
      <c r="G14" s="6" t="s">
        <v>2519</v>
      </c>
      <c r="H14" s="6" t="s">
        <v>2520</v>
      </c>
      <c r="I14" s="6" t="s">
        <v>2521</v>
      </c>
      <c r="J14" s="6" t="s">
        <v>2522</v>
      </c>
      <c r="K14" s="6" t="s">
        <v>2523</v>
      </c>
      <c r="L14" s="6" t="n">
        <f aca="false">COUNTIF(Recipes!$A$2:$A$1000,A14)</f>
        <v>3</v>
      </c>
    </row>
    <row r="15" customFormat="false" ht="15" hidden="false" customHeight="false" outlineLevel="0" collapsed="false">
      <c r="A15" s="6" t="s">
        <v>2524</v>
      </c>
      <c r="B15" s="6" t="s">
        <v>148</v>
      </c>
      <c r="C15" s="6" t="s">
        <v>2510</v>
      </c>
      <c r="D15" s="6" t="s">
        <v>2525</v>
      </c>
      <c r="E15" s="6" t="s">
        <v>143</v>
      </c>
      <c r="F15" s="6" t="s">
        <v>304</v>
      </c>
      <c r="G15" s="6" t="s">
        <v>2526</v>
      </c>
      <c r="H15" s="6" t="s">
        <v>2527</v>
      </c>
      <c r="I15" s="6" t="s">
        <v>2476</v>
      </c>
      <c r="J15" s="6" t="s">
        <v>2528</v>
      </c>
      <c r="K15" s="6" t="s">
        <v>2529</v>
      </c>
      <c r="L15" s="6" t="n">
        <f aca="false">COUNTIF(Recipes!$A$2:$A$1000,A15)</f>
        <v>4</v>
      </c>
    </row>
    <row r="16" customFormat="false" ht="15" hidden="false" customHeight="false" outlineLevel="0" collapsed="false">
      <c r="A16" s="6" t="s">
        <v>2530</v>
      </c>
      <c r="B16" s="6" t="s">
        <v>148</v>
      </c>
      <c r="C16" s="6" t="s">
        <v>2510</v>
      </c>
      <c r="D16" s="6" t="s">
        <v>2531</v>
      </c>
      <c r="E16" s="6" t="s">
        <v>143</v>
      </c>
      <c r="F16" s="6" t="s">
        <v>304</v>
      </c>
      <c r="G16" s="6" t="s">
        <v>2532</v>
      </c>
      <c r="H16" s="6" t="s">
        <v>2533</v>
      </c>
      <c r="I16" s="6" t="s">
        <v>2534</v>
      </c>
      <c r="J16" s="6" t="s">
        <v>2535</v>
      </c>
      <c r="K16" s="6"/>
      <c r="L16" s="6" t="n">
        <f aca="false">COUNTIF(Recipes!$A$2:$A$1000,A16)</f>
        <v>4</v>
      </c>
    </row>
    <row r="17" customFormat="false" ht="15" hidden="false" customHeight="false" outlineLevel="0" collapsed="false">
      <c r="A17" s="6" t="s">
        <v>2536</v>
      </c>
      <c r="B17" s="6" t="s">
        <v>148</v>
      </c>
      <c r="C17" s="6" t="s">
        <v>2510</v>
      </c>
      <c r="D17" s="6" t="s">
        <v>2537</v>
      </c>
      <c r="E17" s="6" t="s">
        <v>143</v>
      </c>
      <c r="F17" s="6" t="s">
        <v>304</v>
      </c>
      <c r="G17" s="6" t="s">
        <v>2538</v>
      </c>
      <c r="H17" s="6" t="s">
        <v>2539</v>
      </c>
      <c r="I17" s="6" t="s">
        <v>2540</v>
      </c>
      <c r="J17" s="6" t="s">
        <v>2541</v>
      </c>
      <c r="K17" s="6" t="s">
        <v>2542</v>
      </c>
      <c r="L17" s="6" t="n">
        <f aca="false">COUNTIF(Recipes!$A$2:$A$1000,A17)</f>
        <v>4</v>
      </c>
    </row>
    <row r="18" customFormat="false" ht="15" hidden="false" customHeight="false" outlineLevel="0" collapsed="false">
      <c r="A18" s="6" t="s">
        <v>2543</v>
      </c>
      <c r="B18" s="6" t="s">
        <v>148</v>
      </c>
      <c r="C18" s="6" t="s">
        <v>2510</v>
      </c>
      <c r="D18" s="6" t="s">
        <v>2544</v>
      </c>
      <c r="E18" s="6" t="s">
        <v>143</v>
      </c>
      <c r="F18" s="6" t="s">
        <v>304</v>
      </c>
      <c r="G18" s="6" t="s">
        <v>2545</v>
      </c>
      <c r="H18" s="6" t="s">
        <v>2546</v>
      </c>
      <c r="I18" s="6" t="s">
        <v>2547</v>
      </c>
      <c r="J18" s="6"/>
      <c r="K18" s="6" t="s">
        <v>2548</v>
      </c>
      <c r="L18" s="6" t="n">
        <f aca="false">COUNTIF(Recipes!$A$2:$A$1000,A18)</f>
        <v>4</v>
      </c>
    </row>
    <row r="19" customFormat="false" ht="22.35" hidden="false" customHeight="false" outlineLevel="0" collapsed="false">
      <c r="A19" s="6" t="s">
        <v>2549</v>
      </c>
      <c r="B19" s="6" t="s">
        <v>148</v>
      </c>
      <c r="C19" s="6" t="s">
        <v>2510</v>
      </c>
      <c r="D19" s="6" t="s">
        <v>2550</v>
      </c>
      <c r="E19" s="6" t="s">
        <v>143</v>
      </c>
      <c r="F19" s="6" t="s">
        <v>304</v>
      </c>
      <c r="G19" s="6" t="s">
        <v>2551</v>
      </c>
      <c r="H19" s="6" t="s">
        <v>2552</v>
      </c>
      <c r="I19" s="6" t="s">
        <v>2553</v>
      </c>
      <c r="J19" s="6" t="s">
        <v>2554</v>
      </c>
      <c r="K19" s="6" t="s">
        <v>2555</v>
      </c>
      <c r="L19" s="6" t="n">
        <f aca="false">COUNTIF(Recipes!$A$2:$A$1000,A19)</f>
        <v>4</v>
      </c>
    </row>
    <row r="20" customFormat="false" ht="22.35" hidden="false" customHeight="false" outlineLevel="0" collapsed="false">
      <c r="A20" s="6" t="s">
        <v>2556</v>
      </c>
      <c r="B20" s="6" t="s">
        <v>148</v>
      </c>
      <c r="C20" s="6" t="s">
        <v>2510</v>
      </c>
      <c r="D20" s="6" t="s">
        <v>2557</v>
      </c>
      <c r="E20" s="6" t="s">
        <v>143</v>
      </c>
      <c r="F20" s="6" t="s">
        <v>304</v>
      </c>
      <c r="G20" s="6" t="s">
        <v>2558</v>
      </c>
      <c r="H20" s="6" t="s">
        <v>2559</v>
      </c>
      <c r="I20" s="6" t="s">
        <v>810</v>
      </c>
      <c r="J20" s="6"/>
      <c r="K20" s="6" t="s">
        <v>2560</v>
      </c>
      <c r="L20" s="6" t="n">
        <f aca="false">COUNTIF(Recipes!$A$2:$A$1000,A20)</f>
        <v>4</v>
      </c>
    </row>
    <row r="21" customFormat="false" ht="22.35" hidden="false" customHeight="false" outlineLevel="0" collapsed="false">
      <c r="A21" s="6" t="s">
        <v>2561</v>
      </c>
      <c r="B21" s="6" t="s">
        <v>148</v>
      </c>
      <c r="C21" s="6" t="s">
        <v>2510</v>
      </c>
      <c r="D21" s="6" t="s">
        <v>2562</v>
      </c>
      <c r="E21" s="6" t="s">
        <v>143</v>
      </c>
      <c r="F21" s="6" t="s">
        <v>304</v>
      </c>
      <c r="G21" s="6" t="s">
        <v>2563</v>
      </c>
      <c r="H21" s="6" t="s">
        <v>2564</v>
      </c>
      <c r="I21" s="6" t="s">
        <v>2565</v>
      </c>
      <c r="J21" s="6" t="s">
        <v>2566</v>
      </c>
      <c r="K21" s="6" t="s">
        <v>2567</v>
      </c>
      <c r="L21" s="6" t="n">
        <f aca="false">COUNTIF(Recipes!$A$2:$A$1000,A21)</f>
        <v>4</v>
      </c>
    </row>
    <row r="22" customFormat="false" ht="15" hidden="false" customHeight="false" outlineLevel="0" collapsed="false">
      <c r="A22" s="6" t="s">
        <v>2568</v>
      </c>
      <c r="B22" s="6" t="s">
        <v>148</v>
      </c>
      <c r="C22" s="6" t="s">
        <v>2510</v>
      </c>
      <c r="D22" s="6" t="s">
        <v>2569</v>
      </c>
      <c r="E22" s="6" t="s">
        <v>143</v>
      </c>
      <c r="F22" s="6" t="s">
        <v>304</v>
      </c>
      <c r="G22" s="6" t="s">
        <v>2570</v>
      </c>
      <c r="H22" s="6" t="s">
        <v>2571</v>
      </c>
      <c r="I22" s="6" t="s">
        <v>2572</v>
      </c>
      <c r="J22" s="6"/>
      <c r="K22" s="6"/>
      <c r="L22" s="6" t="n">
        <f aca="false">COUNTIF(Recipes!$A$2:$A$1000,A22)</f>
        <v>3</v>
      </c>
    </row>
    <row r="23" customFormat="false" ht="22.35" hidden="false" customHeight="false" outlineLevel="0" collapsed="false">
      <c r="A23" s="6" t="s">
        <v>2573</v>
      </c>
      <c r="B23" s="6" t="s">
        <v>689</v>
      </c>
      <c r="C23" s="6" t="s">
        <v>2510</v>
      </c>
      <c r="D23" s="6" t="s">
        <v>2574</v>
      </c>
      <c r="E23" s="6" t="s">
        <v>143</v>
      </c>
      <c r="F23" s="6" t="s">
        <v>304</v>
      </c>
      <c r="G23" s="6" t="s">
        <v>2575</v>
      </c>
      <c r="H23" s="6" t="s">
        <v>2576</v>
      </c>
      <c r="I23" s="6" t="s">
        <v>688</v>
      </c>
      <c r="J23" s="6" t="s">
        <v>2577</v>
      </c>
      <c r="K23" s="6"/>
      <c r="L23" s="6" t="n">
        <f aca="false">COUNTIF(Recipes!$A$2:$A$1000,A23)</f>
        <v>4</v>
      </c>
    </row>
    <row r="24" customFormat="false" ht="22.35" hidden="false" customHeight="false" outlineLevel="0" collapsed="false">
      <c r="A24" s="6" t="s">
        <v>2578</v>
      </c>
      <c r="B24" s="6" t="s">
        <v>148</v>
      </c>
      <c r="C24" s="6" t="s">
        <v>2510</v>
      </c>
      <c r="D24" s="6" t="s">
        <v>2579</v>
      </c>
      <c r="E24" s="6" t="s">
        <v>182</v>
      </c>
      <c r="F24" s="6" t="s">
        <v>2499</v>
      </c>
      <c r="G24" s="6" t="s">
        <v>2580</v>
      </c>
      <c r="H24" s="6" t="s">
        <v>2581</v>
      </c>
      <c r="I24" s="6" t="s">
        <v>2582</v>
      </c>
      <c r="J24" s="6" t="s">
        <v>2583</v>
      </c>
      <c r="K24" s="6" t="s">
        <v>665</v>
      </c>
      <c r="L24" s="6" t="n">
        <f aca="false">COUNTIF(Recipes!$A$2:$A$1000,A24)</f>
        <v>6</v>
      </c>
    </row>
    <row r="25" customFormat="false" ht="15" hidden="false" customHeight="false" outlineLevel="0" collapsed="false">
      <c r="A25" s="6" t="s">
        <v>2584</v>
      </c>
      <c r="B25" s="6" t="s">
        <v>567</v>
      </c>
      <c r="C25" s="6" t="s">
        <v>2510</v>
      </c>
      <c r="D25" s="6" t="s">
        <v>2585</v>
      </c>
      <c r="E25" s="6" t="s">
        <v>182</v>
      </c>
      <c r="F25" s="6" t="s">
        <v>2499</v>
      </c>
      <c r="G25" s="6" t="s">
        <v>2586</v>
      </c>
      <c r="H25" s="6" t="s">
        <v>2587</v>
      </c>
      <c r="I25" s="6" t="s">
        <v>2272</v>
      </c>
      <c r="J25" s="6" t="s">
        <v>2588</v>
      </c>
      <c r="K25" s="6"/>
      <c r="L25" s="6" t="n">
        <f aca="false">COUNTIF(Recipes!$A$2:$A$1000,A25)</f>
        <v>3</v>
      </c>
    </row>
    <row r="26" customFormat="false" ht="15" hidden="false" customHeight="false" outlineLevel="0" collapsed="false">
      <c r="A26" s="6" t="s">
        <v>2589</v>
      </c>
      <c r="B26" s="6" t="s">
        <v>148</v>
      </c>
      <c r="C26" s="6" t="s">
        <v>554</v>
      </c>
      <c r="D26" s="6" t="s">
        <v>2590</v>
      </c>
      <c r="E26" s="6" t="s">
        <v>238</v>
      </c>
      <c r="F26" s="6" t="s">
        <v>238</v>
      </c>
      <c r="G26" s="6" t="s">
        <v>2591</v>
      </c>
      <c r="H26" s="6" t="s">
        <v>2592</v>
      </c>
      <c r="I26" s="6" t="s">
        <v>2593</v>
      </c>
      <c r="J26" s="6" t="s">
        <v>362</v>
      </c>
      <c r="K26" s="6" t="s">
        <v>2594</v>
      </c>
      <c r="L26" s="6" t="n">
        <f aca="false">COUNTIF(Recipes!$A$2:$A$1000,A26)</f>
        <v>3</v>
      </c>
    </row>
    <row r="27" customFormat="false" ht="15" hidden="false" customHeight="false" outlineLevel="0" collapsed="false">
      <c r="A27" s="6" t="s">
        <v>2595</v>
      </c>
      <c r="B27" s="6" t="s">
        <v>148</v>
      </c>
      <c r="C27" s="6" t="s">
        <v>554</v>
      </c>
      <c r="D27" s="6" t="s">
        <v>2596</v>
      </c>
      <c r="E27" s="6" t="s">
        <v>238</v>
      </c>
      <c r="F27" s="6" t="s">
        <v>238</v>
      </c>
      <c r="G27" s="6" t="s">
        <v>2597</v>
      </c>
      <c r="H27" s="6" t="s">
        <v>2598</v>
      </c>
      <c r="I27" s="6" t="s">
        <v>2599</v>
      </c>
      <c r="J27" s="6"/>
      <c r="K27" s="6" t="s">
        <v>2600</v>
      </c>
      <c r="L27" s="6" t="n">
        <f aca="false">COUNTIF(Recipes!$A$2:$A$1000,A27)</f>
        <v>4</v>
      </c>
    </row>
    <row r="28" customFormat="false" ht="15" hidden="false" customHeight="false" outlineLevel="0" collapsed="false">
      <c r="A28" s="6" t="s">
        <v>2601</v>
      </c>
      <c r="B28" s="6" t="s">
        <v>148</v>
      </c>
      <c r="C28" s="6" t="s">
        <v>554</v>
      </c>
      <c r="D28" s="6" t="s">
        <v>2602</v>
      </c>
      <c r="E28" s="6" t="s">
        <v>238</v>
      </c>
      <c r="F28" s="6" t="s">
        <v>238</v>
      </c>
      <c r="G28" s="6" t="s">
        <v>2603</v>
      </c>
      <c r="H28" s="6" t="s">
        <v>2604</v>
      </c>
      <c r="I28" s="6" t="s">
        <v>2605</v>
      </c>
      <c r="J28" s="6"/>
      <c r="K28" s="6" t="s">
        <v>2606</v>
      </c>
      <c r="L28" s="6" t="n">
        <f aca="false">COUNTIF(Recipes!$A$2:$A$1000,A28)</f>
        <v>4</v>
      </c>
    </row>
    <row r="29" customFormat="false" ht="15" hidden="false" customHeight="false" outlineLevel="0" collapsed="false">
      <c r="A29" s="6" t="s">
        <v>2607</v>
      </c>
      <c r="B29" s="6" t="s">
        <v>148</v>
      </c>
      <c r="C29" s="6" t="s">
        <v>554</v>
      </c>
      <c r="D29" s="6" t="s">
        <v>2608</v>
      </c>
      <c r="E29" s="6" t="s">
        <v>238</v>
      </c>
      <c r="F29" s="6" t="s">
        <v>238</v>
      </c>
      <c r="G29" s="6" t="s">
        <v>2603</v>
      </c>
      <c r="H29" s="6" t="s">
        <v>2609</v>
      </c>
      <c r="I29" s="6" t="s">
        <v>2610</v>
      </c>
      <c r="J29" s="6"/>
      <c r="K29" s="6" t="s">
        <v>2611</v>
      </c>
      <c r="L29" s="6" t="n">
        <f aca="false">COUNTIF(Recipes!$A$2:$A$1000,A29)</f>
        <v>3</v>
      </c>
    </row>
    <row r="30" customFormat="false" ht="15" hidden="false" customHeight="false" outlineLevel="0" collapsed="false">
      <c r="A30" s="6" t="s">
        <v>2612</v>
      </c>
      <c r="B30" s="6" t="s">
        <v>148</v>
      </c>
      <c r="C30" s="6" t="s">
        <v>554</v>
      </c>
      <c r="D30" s="6" t="s">
        <v>2613</v>
      </c>
      <c r="E30" s="6" t="s">
        <v>238</v>
      </c>
      <c r="F30" s="6" t="s">
        <v>238</v>
      </c>
      <c r="G30" s="6" t="s">
        <v>2603</v>
      </c>
      <c r="H30" s="6" t="s">
        <v>2614</v>
      </c>
      <c r="I30" s="6" t="s">
        <v>2615</v>
      </c>
      <c r="J30" s="6"/>
      <c r="K30" s="6" t="s">
        <v>2616</v>
      </c>
      <c r="L30" s="6" t="n">
        <f aca="false">COUNTIF(Recipes!$A$2:$A$1000,A30)</f>
        <v>3</v>
      </c>
    </row>
    <row r="31" customFormat="false" ht="22.35" hidden="false" customHeight="false" outlineLevel="0" collapsed="false">
      <c r="A31" s="6" t="s">
        <v>2617</v>
      </c>
      <c r="B31" s="6" t="s">
        <v>148</v>
      </c>
      <c r="C31" s="6" t="s">
        <v>554</v>
      </c>
      <c r="D31" s="6" t="s">
        <v>2618</v>
      </c>
      <c r="E31" s="6" t="s">
        <v>238</v>
      </c>
      <c r="F31" s="6" t="s">
        <v>238</v>
      </c>
      <c r="G31" s="6" t="s">
        <v>2603</v>
      </c>
      <c r="H31" s="6" t="s">
        <v>2619</v>
      </c>
      <c r="I31" s="6" t="s">
        <v>372</v>
      </c>
      <c r="J31" s="6"/>
      <c r="K31" s="6" t="s">
        <v>2620</v>
      </c>
      <c r="L31" s="6" t="n">
        <f aca="false">COUNTIF(Recipes!$A$2:$A$1000,A31)</f>
        <v>3</v>
      </c>
    </row>
    <row r="32" customFormat="false" ht="22.35" hidden="false" customHeight="false" outlineLevel="0" collapsed="false">
      <c r="A32" s="6" t="s">
        <v>2621</v>
      </c>
      <c r="B32" s="6" t="s">
        <v>689</v>
      </c>
      <c r="C32" s="6" t="s">
        <v>554</v>
      </c>
      <c r="D32" s="6" t="s">
        <v>2622</v>
      </c>
      <c r="E32" s="6" t="s">
        <v>238</v>
      </c>
      <c r="F32" s="6" t="s">
        <v>238</v>
      </c>
      <c r="G32" s="6" t="s">
        <v>2623</v>
      </c>
      <c r="H32" s="6" t="s">
        <v>2624</v>
      </c>
      <c r="I32" s="6" t="s">
        <v>2625</v>
      </c>
      <c r="J32" s="6" t="s">
        <v>2626</v>
      </c>
      <c r="K32" s="6"/>
      <c r="L32" s="6" t="n">
        <f aca="false">COUNTIF(Recipes!$A$2:$A$1000,A32)</f>
        <v>2</v>
      </c>
    </row>
    <row r="33" customFormat="false" ht="22.35" hidden="false" customHeight="false" outlineLevel="0" collapsed="false">
      <c r="A33" s="6" t="s">
        <v>444</v>
      </c>
      <c r="B33" s="6" t="s">
        <v>148</v>
      </c>
      <c r="C33" s="6" t="s">
        <v>470</v>
      </c>
      <c r="D33" s="6" t="s">
        <v>2627</v>
      </c>
      <c r="E33" s="6" t="s">
        <v>182</v>
      </c>
      <c r="F33" s="6" t="s">
        <v>2499</v>
      </c>
      <c r="G33" s="6" t="s">
        <v>2628</v>
      </c>
      <c r="H33" s="6" t="s">
        <v>2629</v>
      </c>
      <c r="I33" s="6" t="s">
        <v>442</v>
      </c>
      <c r="J33" s="6"/>
      <c r="K33" s="6" t="s">
        <v>445</v>
      </c>
      <c r="L33" s="6" t="n">
        <f aca="false">COUNTIF(Recipes!$A$2:$A$1000,A33)</f>
        <v>4</v>
      </c>
    </row>
    <row r="34" customFormat="false" ht="22.35" hidden="false" customHeight="false" outlineLevel="0" collapsed="false">
      <c r="A34" s="6" t="s">
        <v>452</v>
      </c>
      <c r="B34" s="6" t="s">
        <v>148</v>
      </c>
      <c r="C34" s="6" t="s">
        <v>470</v>
      </c>
      <c r="D34" s="6" t="s">
        <v>2630</v>
      </c>
      <c r="E34" s="6" t="s">
        <v>182</v>
      </c>
      <c r="F34" s="6" t="s">
        <v>2499</v>
      </c>
      <c r="G34" s="6" t="s">
        <v>2631</v>
      </c>
      <c r="H34" s="6" t="s">
        <v>2632</v>
      </c>
      <c r="I34" s="6" t="s">
        <v>2633</v>
      </c>
      <c r="J34" s="6"/>
      <c r="K34" s="6" t="s">
        <v>454</v>
      </c>
      <c r="L34" s="6" t="n">
        <f aca="false">COUNTIF(Recipes!$A$2:$A$1000,A34)</f>
        <v>4</v>
      </c>
    </row>
    <row r="35" customFormat="false" ht="22.35" hidden="false" customHeight="false" outlineLevel="0" collapsed="false">
      <c r="A35" s="6" t="s">
        <v>2634</v>
      </c>
      <c r="B35" s="6" t="s">
        <v>148</v>
      </c>
      <c r="C35" s="6" t="s">
        <v>493</v>
      </c>
      <c r="D35" s="6" t="s">
        <v>2635</v>
      </c>
      <c r="E35" s="6" t="s">
        <v>143</v>
      </c>
      <c r="F35" s="6" t="s">
        <v>304</v>
      </c>
      <c r="G35" s="6" t="s">
        <v>2636</v>
      </c>
      <c r="H35" s="6" t="s">
        <v>2637</v>
      </c>
      <c r="I35" s="6" t="s">
        <v>2638</v>
      </c>
      <c r="J35" s="6" t="s">
        <v>2639</v>
      </c>
      <c r="K35" s="6" t="s">
        <v>2640</v>
      </c>
      <c r="L35" s="6" t="n">
        <f aca="false">COUNTIF(Recipes!$A$2:$A$1000,A35)</f>
        <v>3</v>
      </c>
    </row>
    <row r="36" customFormat="false" ht="22.35" hidden="false" customHeight="false" outlineLevel="0" collapsed="false">
      <c r="A36" s="6" t="s">
        <v>2641</v>
      </c>
      <c r="B36" s="6" t="s">
        <v>148</v>
      </c>
      <c r="C36" s="6" t="s">
        <v>493</v>
      </c>
      <c r="D36" s="6" t="s">
        <v>2642</v>
      </c>
      <c r="E36" s="6" t="s">
        <v>143</v>
      </c>
      <c r="F36" s="6" t="s">
        <v>304</v>
      </c>
      <c r="G36" s="6" t="s">
        <v>2643</v>
      </c>
      <c r="H36" s="6" t="s">
        <v>2644</v>
      </c>
      <c r="I36" s="6" t="s">
        <v>2645</v>
      </c>
      <c r="J36" s="6"/>
      <c r="K36" s="6" t="s">
        <v>2646</v>
      </c>
      <c r="L36" s="6" t="n">
        <f aca="false">COUNTIF(Recipes!$A$2:$A$1000,A36)</f>
        <v>4</v>
      </c>
    </row>
    <row r="37" customFormat="false" ht="15" hidden="false" customHeight="false" outlineLevel="0" collapsed="false">
      <c r="A37" s="6" t="s">
        <v>2647</v>
      </c>
      <c r="B37" s="6" t="s">
        <v>242</v>
      </c>
      <c r="C37" s="6" t="s">
        <v>493</v>
      </c>
      <c r="D37" s="6" t="s">
        <v>2648</v>
      </c>
      <c r="E37" s="6" t="s">
        <v>182</v>
      </c>
      <c r="F37" s="6" t="s">
        <v>2499</v>
      </c>
      <c r="G37" s="6" t="s">
        <v>2649</v>
      </c>
      <c r="H37" s="6" t="s">
        <v>2650</v>
      </c>
      <c r="I37" s="6" t="s">
        <v>2651</v>
      </c>
      <c r="J37" s="6"/>
      <c r="K37" s="6" t="s">
        <v>2646</v>
      </c>
      <c r="L37" s="6" t="n">
        <f aca="false">COUNTIF(Recipes!$A$2:$A$1000,A37)</f>
        <v>3</v>
      </c>
    </row>
    <row r="38" customFormat="false" ht="15" hidden="false" customHeight="false" outlineLevel="0" collapsed="false">
      <c r="A38" s="6" t="s">
        <v>2652</v>
      </c>
      <c r="B38" s="6" t="s">
        <v>148</v>
      </c>
      <c r="C38" s="6" t="s">
        <v>493</v>
      </c>
      <c r="D38" s="6" t="s">
        <v>2653</v>
      </c>
      <c r="E38" s="6" t="s">
        <v>143</v>
      </c>
      <c r="F38" s="6" t="s">
        <v>304</v>
      </c>
      <c r="G38" s="6" t="s">
        <v>2654</v>
      </c>
      <c r="H38" s="6" t="s">
        <v>2655</v>
      </c>
      <c r="I38" s="6" t="s">
        <v>2656</v>
      </c>
      <c r="J38" s="6" t="s">
        <v>2657</v>
      </c>
      <c r="K38" s="6" t="s">
        <v>2646</v>
      </c>
      <c r="L38" s="6" t="n">
        <f aca="false">COUNTIF(Recipes!$A$2:$A$1000,A38)</f>
        <v>3</v>
      </c>
    </row>
    <row r="39" customFormat="false" ht="15" hidden="false" customHeight="false" outlineLevel="0" collapsed="false">
      <c r="A39" s="6" t="s">
        <v>512</v>
      </c>
      <c r="B39" s="6" t="s">
        <v>148</v>
      </c>
      <c r="C39" s="6" t="s">
        <v>493</v>
      </c>
      <c r="D39" s="6" t="s">
        <v>2658</v>
      </c>
      <c r="E39" s="6" t="s">
        <v>182</v>
      </c>
      <c r="F39" s="6" t="s">
        <v>2499</v>
      </c>
      <c r="G39" s="6" t="s">
        <v>2504</v>
      </c>
      <c r="H39" s="6" t="s">
        <v>2505</v>
      </c>
      <c r="I39" s="6" t="s">
        <v>2496</v>
      </c>
      <c r="J39" s="6"/>
      <c r="K39" s="6" t="s">
        <v>513</v>
      </c>
      <c r="L39" s="6" t="n">
        <f aca="false">COUNTIF(Recipes!$A$2:$A$1000,A39)</f>
        <v>2</v>
      </c>
    </row>
    <row r="40" customFormat="false" ht="15" hidden="false" customHeight="false" outlineLevel="0" collapsed="false">
      <c r="A40" s="6" t="s">
        <v>533</v>
      </c>
      <c r="B40" s="6" t="s">
        <v>242</v>
      </c>
      <c r="C40" s="6" t="s">
        <v>493</v>
      </c>
      <c r="D40" s="6" t="s">
        <v>2659</v>
      </c>
      <c r="E40" s="6" t="s">
        <v>182</v>
      </c>
      <c r="F40" s="6" t="s">
        <v>2499</v>
      </c>
      <c r="G40" s="6" t="s">
        <v>2649</v>
      </c>
      <c r="H40" s="6" t="s">
        <v>2660</v>
      </c>
      <c r="I40" s="6" t="s">
        <v>531</v>
      </c>
      <c r="J40" s="6" t="s">
        <v>2661</v>
      </c>
      <c r="K40" s="6"/>
      <c r="L40" s="6" t="n">
        <f aca="false">COUNTIF(Recipes!$A$2:$A$1000,A40)</f>
        <v>3</v>
      </c>
    </row>
    <row r="41" customFormat="false" ht="22.35" hidden="false" customHeight="false" outlineLevel="0" collapsed="false">
      <c r="A41" s="6" t="s">
        <v>2662</v>
      </c>
      <c r="B41" s="6" t="s">
        <v>242</v>
      </c>
      <c r="C41" s="6" t="s">
        <v>2663</v>
      </c>
      <c r="D41" s="6" t="s">
        <v>2664</v>
      </c>
      <c r="E41" s="6" t="s">
        <v>182</v>
      </c>
      <c r="F41" s="6" t="s">
        <v>2499</v>
      </c>
      <c r="G41" s="6" t="s">
        <v>2665</v>
      </c>
      <c r="H41" s="6" t="s">
        <v>2666</v>
      </c>
      <c r="I41" s="6" t="s">
        <v>720</v>
      </c>
      <c r="J41" s="6" t="s">
        <v>2667</v>
      </c>
      <c r="K41" s="6" t="s">
        <v>2668</v>
      </c>
      <c r="L41" s="6" t="n">
        <f aca="false">COUNTIF(Recipes!$A$2:$A$1000,A41)</f>
        <v>3</v>
      </c>
    </row>
    <row r="42" customFormat="false" ht="22.35" hidden="false" customHeight="false" outlineLevel="0" collapsed="false">
      <c r="A42" s="6" t="s">
        <v>2669</v>
      </c>
      <c r="B42" s="6" t="s">
        <v>242</v>
      </c>
      <c r="C42" s="6" t="s">
        <v>2663</v>
      </c>
      <c r="D42" s="6" t="s">
        <v>2670</v>
      </c>
      <c r="E42" s="6" t="s">
        <v>182</v>
      </c>
      <c r="F42" s="6" t="s">
        <v>2499</v>
      </c>
      <c r="G42" s="6" t="s">
        <v>2671</v>
      </c>
      <c r="H42" s="6" t="s">
        <v>2672</v>
      </c>
      <c r="I42" s="6" t="s">
        <v>2673</v>
      </c>
      <c r="J42" s="6" t="s">
        <v>2674</v>
      </c>
      <c r="K42" s="6" t="s">
        <v>2675</v>
      </c>
      <c r="L42" s="6" t="n">
        <f aca="false">COUNTIF(Recipes!$A$2:$A$1000,A42)</f>
        <v>4</v>
      </c>
    </row>
    <row r="43" customFormat="false" ht="15" hidden="false" customHeight="false" outlineLevel="0" collapsed="false">
      <c r="A43" s="6" t="s">
        <v>2676</v>
      </c>
      <c r="B43" s="6" t="s">
        <v>242</v>
      </c>
      <c r="C43" s="6" t="s">
        <v>2663</v>
      </c>
      <c r="D43" s="6" t="s">
        <v>2677</v>
      </c>
      <c r="E43" s="6" t="s">
        <v>182</v>
      </c>
      <c r="F43" s="6" t="s">
        <v>2499</v>
      </c>
      <c r="G43" s="6" t="s">
        <v>2678</v>
      </c>
      <c r="H43" s="6" t="s">
        <v>2679</v>
      </c>
      <c r="I43" s="6" t="s">
        <v>241</v>
      </c>
      <c r="J43" s="6"/>
      <c r="K43" s="6" t="s">
        <v>2680</v>
      </c>
      <c r="L43" s="6" t="n">
        <f aca="false">COUNTIF(Recipes!$A$2:$A$1000,A43)</f>
        <v>2</v>
      </c>
    </row>
    <row r="44" customFormat="false" ht="15" hidden="false" customHeight="false" outlineLevel="0" collapsed="false">
      <c r="A44" s="6" t="s">
        <v>2681</v>
      </c>
      <c r="B44" s="6" t="s">
        <v>689</v>
      </c>
      <c r="C44" s="6" t="s">
        <v>2663</v>
      </c>
      <c r="D44" s="6" t="s">
        <v>2682</v>
      </c>
      <c r="E44" s="6" t="s">
        <v>182</v>
      </c>
      <c r="F44" s="6" t="s">
        <v>2499</v>
      </c>
      <c r="G44" s="6" t="s">
        <v>2683</v>
      </c>
      <c r="H44" s="6" t="s">
        <v>2684</v>
      </c>
      <c r="I44" s="6" t="s">
        <v>2625</v>
      </c>
      <c r="J44" s="6" t="s">
        <v>2685</v>
      </c>
      <c r="K44" s="6"/>
      <c r="L44" s="6" t="n">
        <f aca="false">COUNTIF(Recipes!$A$2:$A$1000,A44)</f>
        <v>3</v>
      </c>
    </row>
    <row r="45" customFormat="false" ht="22.35" hidden="false" customHeight="false" outlineLevel="0" collapsed="false">
      <c r="A45" s="6" t="s">
        <v>521</v>
      </c>
      <c r="B45" s="6" t="s">
        <v>242</v>
      </c>
      <c r="C45" s="6" t="s">
        <v>1624</v>
      </c>
      <c r="D45" s="6" t="s">
        <v>2686</v>
      </c>
      <c r="E45" s="6" t="s">
        <v>182</v>
      </c>
      <c r="F45" s="6" t="s">
        <v>2499</v>
      </c>
      <c r="G45" s="6" t="s">
        <v>2687</v>
      </c>
      <c r="H45" s="6" t="s">
        <v>2688</v>
      </c>
      <c r="I45" s="6" t="s">
        <v>520</v>
      </c>
      <c r="J45" s="6" t="s">
        <v>2689</v>
      </c>
      <c r="K45" s="6" t="s">
        <v>524</v>
      </c>
      <c r="L45" s="6" t="n">
        <f aca="false">COUNTIF(Recipes!$A$2:$A$1000,A45)</f>
        <v>9</v>
      </c>
    </row>
    <row r="46" customFormat="false" ht="22.35" hidden="false" customHeight="false" outlineLevel="0" collapsed="false">
      <c r="A46" s="6" t="s">
        <v>649</v>
      </c>
      <c r="B46" s="6" t="s">
        <v>242</v>
      </c>
      <c r="C46" s="6" t="s">
        <v>1624</v>
      </c>
      <c r="D46" s="6" t="s">
        <v>2690</v>
      </c>
      <c r="E46" s="6" t="s">
        <v>182</v>
      </c>
      <c r="F46" s="6" t="s">
        <v>2499</v>
      </c>
      <c r="G46" s="6" t="s">
        <v>2691</v>
      </c>
      <c r="H46" s="6" t="s">
        <v>2692</v>
      </c>
      <c r="I46" s="6" t="s">
        <v>520</v>
      </c>
      <c r="J46" s="6" t="s">
        <v>2693</v>
      </c>
      <c r="K46" s="6" t="s">
        <v>641</v>
      </c>
      <c r="L46" s="6" t="n">
        <f aca="false">COUNTIF(Recipes!$A$2:$A$1000,A46)</f>
        <v>4</v>
      </c>
    </row>
    <row r="47" customFormat="false" ht="22.35" hidden="false" customHeight="false" outlineLevel="0" collapsed="false">
      <c r="A47" s="6" t="s">
        <v>639</v>
      </c>
      <c r="B47" s="6" t="s">
        <v>242</v>
      </c>
      <c r="C47" s="6" t="s">
        <v>1624</v>
      </c>
      <c r="D47" s="6" t="s">
        <v>2694</v>
      </c>
      <c r="E47" s="6" t="s">
        <v>182</v>
      </c>
      <c r="F47" s="6" t="s">
        <v>2499</v>
      </c>
      <c r="G47" s="6" t="s">
        <v>2695</v>
      </c>
      <c r="H47" s="6" t="s">
        <v>2696</v>
      </c>
      <c r="I47" s="6" t="s">
        <v>2697</v>
      </c>
      <c r="J47" s="6" t="s">
        <v>2698</v>
      </c>
      <c r="K47" s="6" t="s">
        <v>641</v>
      </c>
      <c r="L47" s="6" t="n">
        <f aca="false">COUNTIF(Recipes!$A$2:$A$1000,A47)</f>
        <v>1</v>
      </c>
    </row>
    <row r="48" customFormat="false" ht="15" hidden="false" customHeight="false" outlineLevel="0" collapsed="false">
      <c r="A48" s="6" t="s">
        <v>752</v>
      </c>
      <c r="B48" s="6" t="s">
        <v>242</v>
      </c>
      <c r="C48" s="6" t="s">
        <v>1624</v>
      </c>
      <c r="D48" s="6" t="s">
        <v>2699</v>
      </c>
      <c r="E48" s="6" t="s">
        <v>182</v>
      </c>
      <c r="F48" s="6" t="s">
        <v>2499</v>
      </c>
      <c r="G48" s="6" t="s">
        <v>2700</v>
      </c>
      <c r="H48" s="6" t="s">
        <v>2701</v>
      </c>
      <c r="I48" s="6" t="s">
        <v>2702</v>
      </c>
      <c r="J48" s="6" t="s">
        <v>2703</v>
      </c>
      <c r="K48" s="6"/>
      <c r="L48" s="6" t="n">
        <f aca="false">COUNTIF(Recipes!$A$2:$A$1000,A48)</f>
        <v>3</v>
      </c>
    </row>
    <row r="49" customFormat="false" ht="15" hidden="false" customHeight="false" outlineLevel="0" collapsed="false">
      <c r="A49" s="6" t="s">
        <v>771</v>
      </c>
      <c r="B49" s="6" t="s">
        <v>242</v>
      </c>
      <c r="C49" s="6" t="s">
        <v>2704</v>
      </c>
      <c r="D49" s="6" t="s">
        <v>2705</v>
      </c>
      <c r="E49" s="6" t="s">
        <v>182</v>
      </c>
      <c r="F49" s="6" t="s">
        <v>2499</v>
      </c>
      <c r="G49" s="6" t="s">
        <v>2706</v>
      </c>
      <c r="H49" s="6" t="s">
        <v>2707</v>
      </c>
      <c r="I49" s="6" t="s">
        <v>2708</v>
      </c>
      <c r="J49" s="6" t="s">
        <v>2709</v>
      </c>
      <c r="K49" s="6" t="s">
        <v>245</v>
      </c>
      <c r="L49" s="6" t="n">
        <f aca="false">COUNTIF(Recipes!$A$2:$A$1000,A49)</f>
        <v>5</v>
      </c>
    </row>
    <row r="50" customFormat="false" ht="15" hidden="false" customHeight="false" outlineLevel="0" collapsed="false">
      <c r="A50" s="6" t="s">
        <v>780</v>
      </c>
      <c r="B50" s="6" t="s">
        <v>242</v>
      </c>
      <c r="C50" s="6" t="s">
        <v>2704</v>
      </c>
      <c r="D50" s="6" t="s">
        <v>2710</v>
      </c>
      <c r="E50" s="6" t="s">
        <v>182</v>
      </c>
      <c r="F50" s="6" t="s">
        <v>2499</v>
      </c>
      <c r="G50" s="6" t="s">
        <v>2711</v>
      </c>
      <c r="H50" s="6" t="s">
        <v>2712</v>
      </c>
      <c r="I50" s="6" t="s">
        <v>241</v>
      </c>
      <c r="J50" s="6" t="s">
        <v>2713</v>
      </c>
      <c r="K50" s="6" t="s">
        <v>245</v>
      </c>
      <c r="L50" s="6" t="n">
        <f aca="false">COUNTIF(Recipes!$A$2:$A$1000,A50)</f>
        <v>5</v>
      </c>
    </row>
    <row r="51" customFormat="false" ht="15" hidden="false" customHeight="false" outlineLevel="0" collapsed="false">
      <c r="A51" s="6" t="s">
        <v>789</v>
      </c>
      <c r="B51" s="6" t="s">
        <v>242</v>
      </c>
      <c r="C51" s="6" t="s">
        <v>2704</v>
      </c>
      <c r="D51" s="6" t="s">
        <v>2714</v>
      </c>
      <c r="E51" s="6" t="s">
        <v>182</v>
      </c>
      <c r="F51" s="6" t="s">
        <v>2499</v>
      </c>
      <c r="G51" s="6" t="s">
        <v>2715</v>
      </c>
      <c r="H51" s="6" t="s">
        <v>2716</v>
      </c>
      <c r="I51" s="6" t="s">
        <v>2708</v>
      </c>
      <c r="J51" s="6" t="s">
        <v>2717</v>
      </c>
      <c r="K51" s="6" t="s">
        <v>245</v>
      </c>
      <c r="L51" s="6" t="n">
        <f aca="false">COUNTIF(Recipes!$A$2:$A$1000,A51)</f>
        <v>4</v>
      </c>
    </row>
    <row r="52" customFormat="false" ht="22.35" hidden="false" customHeight="false" outlineLevel="0" collapsed="false">
      <c r="A52" s="6" t="s">
        <v>243</v>
      </c>
      <c r="B52" s="6" t="s">
        <v>242</v>
      </c>
      <c r="C52" s="6" t="s">
        <v>2704</v>
      </c>
      <c r="D52" s="6" t="s">
        <v>2718</v>
      </c>
      <c r="E52" s="6" t="s">
        <v>182</v>
      </c>
      <c r="F52" s="6" t="s">
        <v>2499</v>
      </c>
      <c r="G52" s="6" t="s">
        <v>2700</v>
      </c>
      <c r="H52" s="6" t="s">
        <v>2719</v>
      </c>
      <c r="I52" s="6" t="s">
        <v>241</v>
      </c>
      <c r="J52" s="6" t="s">
        <v>2720</v>
      </c>
      <c r="K52" s="6" t="s">
        <v>245</v>
      </c>
      <c r="L52" s="6" t="n">
        <f aca="false">COUNTIF(Recipes!$A$2:$A$1000,A52)</f>
        <v>5</v>
      </c>
    </row>
    <row r="53" customFormat="false" ht="15" hidden="false" customHeight="false" outlineLevel="0" collapsed="false">
      <c r="A53" s="6" t="s">
        <v>820</v>
      </c>
      <c r="B53" s="6" t="s">
        <v>242</v>
      </c>
      <c r="C53" s="6" t="s">
        <v>2704</v>
      </c>
      <c r="D53" s="6" t="s">
        <v>2721</v>
      </c>
      <c r="E53" s="6" t="s">
        <v>77</v>
      </c>
      <c r="F53" s="6" t="s">
        <v>1885</v>
      </c>
      <c r="G53" s="6" t="s">
        <v>2722</v>
      </c>
      <c r="H53" s="6" t="s">
        <v>2723</v>
      </c>
      <c r="I53" s="6" t="s">
        <v>819</v>
      </c>
      <c r="J53" s="6"/>
      <c r="K53" s="6"/>
      <c r="L53" s="6" t="n">
        <f aca="false">COUNTIF(Recipes!$A$2:$A$1000,A53)</f>
        <v>2</v>
      </c>
    </row>
    <row r="54" customFormat="false" ht="15" hidden="false" customHeight="false" outlineLevel="0" collapsed="false">
      <c r="A54" s="6" t="s">
        <v>811</v>
      </c>
      <c r="B54" s="6" t="s">
        <v>242</v>
      </c>
      <c r="C54" s="6" t="s">
        <v>2704</v>
      </c>
      <c r="D54" s="6" t="s">
        <v>2724</v>
      </c>
      <c r="E54" s="6" t="s">
        <v>77</v>
      </c>
      <c r="F54" s="6" t="s">
        <v>1885</v>
      </c>
      <c r="G54" s="6" t="s">
        <v>2725</v>
      </c>
      <c r="H54" s="6" t="s">
        <v>2726</v>
      </c>
      <c r="I54" s="6" t="s">
        <v>810</v>
      </c>
      <c r="J54" s="6"/>
      <c r="K54" s="6"/>
      <c r="L54" s="6" t="n">
        <f aca="false">COUNTIF(Recipes!$A$2:$A$1000,A54)</f>
        <v>2</v>
      </c>
    </row>
    <row r="55" customFormat="false" ht="22.35" hidden="false" customHeight="false" outlineLevel="0" collapsed="false">
      <c r="A55" s="6" t="s">
        <v>2239</v>
      </c>
      <c r="B55" s="6" t="s">
        <v>567</v>
      </c>
      <c r="C55" s="6" t="s">
        <v>2704</v>
      </c>
      <c r="D55" s="6" t="s">
        <v>2727</v>
      </c>
      <c r="E55" s="6" t="s">
        <v>182</v>
      </c>
      <c r="F55" s="6" t="s">
        <v>2499</v>
      </c>
      <c r="G55" s="6" t="s">
        <v>2700</v>
      </c>
      <c r="H55" s="6" t="s">
        <v>2728</v>
      </c>
      <c r="I55" s="6" t="s">
        <v>2729</v>
      </c>
      <c r="J55" s="6" t="s">
        <v>2730</v>
      </c>
      <c r="K55" s="6"/>
      <c r="L55" s="6" t="n">
        <f aca="false">COUNTIF(Recipes!$A$2:$A$1000,A55)</f>
        <v>2</v>
      </c>
    </row>
    <row r="56" customFormat="false" ht="15" hidden="false" customHeight="false" outlineLevel="0" collapsed="false">
      <c r="A56" s="6" t="s">
        <v>828</v>
      </c>
      <c r="B56" s="6" t="s">
        <v>242</v>
      </c>
      <c r="C56" s="6" t="s">
        <v>2704</v>
      </c>
      <c r="D56" s="6" t="s">
        <v>2731</v>
      </c>
      <c r="E56" s="6" t="s">
        <v>77</v>
      </c>
      <c r="F56" s="6" t="s">
        <v>1885</v>
      </c>
      <c r="G56" s="6" t="s">
        <v>2732</v>
      </c>
      <c r="H56" s="6" t="s">
        <v>2733</v>
      </c>
      <c r="I56" s="6" t="s">
        <v>827</v>
      </c>
      <c r="J56" s="6"/>
      <c r="K56" s="6"/>
      <c r="L56" s="6" t="n">
        <f aca="false">COUNTIF(Recipes!$A$2:$A$1000,A56)</f>
        <v>1</v>
      </c>
    </row>
    <row r="57" customFormat="false" ht="15" hidden="false" customHeight="false" outlineLevel="0" collapsed="false">
      <c r="A57" s="6" t="s">
        <v>895</v>
      </c>
      <c r="B57" s="6" t="s">
        <v>242</v>
      </c>
      <c r="C57" s="6" t="s">
        <v>2734</v>
      </c>
      <c r="D57" s="6" t="s">
        <v>2735</v>
      </c>
      <c r="E57" s="6" t="s">
        <v>77</v>
      </c>
      <c r="F57" s="6" t="s">
        <v>1885</v>
      </c>
      <c r="G57" s="6" t="s">
        <v>2736</v>
      </c>
      <c r="H57" s="6" t="s">
        <v>2737</v>
      </c>
      <c r="I57" s="6" t="s">
        <v>904</v>
      </c>
      <c r="J57" s="6" t="s">
        <v>2738</v>
      </c>
      <c r="K57" s="6" t="s">
        <v>897</v>
      </c>
      <c r="L57" s="6" t="n">
        <f aca="false">COUNTIF(Recipes!$A$2:$A$1000,A57)</f>
        <v>2</v>
      </c>
    </row>
    <row r="58" customFormat="false" ht="15" hidden="false" customHeight="false" outlineLevel="0" collapsed="false">
      <c r="A58" s="6" t="s">
        <v>905</v>
      </c>
      <c r="B58" s="6" t="s">
        <v>242</v>
      </c>
      <c r="C58" s="6" t="s">
        <v>2734</v>
      </c>
      <c r="D58" s="6" t="s">
        <v>2739</v>
      </c>
      <c r="E58" s="6" t="s">
        <v>182</v>
      </c>
      <c r="F58" s="6" t="s">
        <v>2499</v>
      </c>
      <c r="G58" s="6" t="s">
        <v>2740</v>
      </c>
      <c r="H58" s="6" t="s">
        <v>2741</v>
      </c>
      <c r="I58" s="6" t="s">
        <v>904</v>
      </c>
      <c r="J58" s="6"/>
      <c r="K58" s="6" t="s">
        <v>897</v>
      </c>
      <c r="L58" s="6" t="n">
        <f aca="false">COUNTIF(Recipes!$A$2:$A$1000,A58)</f>
        <v>1</v>
      </c>
    </row>
    <row r="59" customFormat="false" ht="15" hidden="false" customHeight="false" outlineLevel="0" collapsed="false">
      <c r="A59" s="6" t="s">
        <v>937</v>
      </c>
      <c r="B59" s="6" t="s">
        <v>242</v>
      </c>
      <c r="C59" s="6" t="s">
        <v>2734</v>
      </c>
      <c r="D59" s="6" t="s">
        <v>2742</v>
      </c>
      <c r="E59" s="6" t="s">
        <v>115</v>
      </c>
      <c r="F59" s="6" t="s">
        <v>115</v>
      </c>
      <c r="G59" s="6" t="s">
        <v>2743</v>
      </c>
      <c r="H59" s="6" t="s">
        <v>2744</v>
      </c>
      <c r="I59" s="6" t="s">
        <v>904</v>
      </c>
      <c r="J59" s="6"/>
      <c r="K59" s="6"/>
      <c r="L59" s="6" t="n">
        <f aca="false">COUNTIF(Recipes!$A$2:$A$1000,A59)</f>
        <v>1</v>
      </c>
    </row>
    <row r="60" customFormat="false" ht="15" hidden="false" customHeight="false" outlineLevel="0" collapsed="false">
      <c r="A60" s="6" t="s">
        <v>959</v>
      </c>
      <c r="B60" s="6" t="s">
        <v>242</v>
      </c>
      <c r="C60" s="6" t="s">
        <v>952</v>
      </c>
      <c r="D60" s="6" t="s">
        <v>2745</v>
      </c>
      <c r="E60" s="6" t="s">
        <v>182</v>
      </c>
      <c r="F60" s="6" t="s">
        <v>2499</v>
      </c>
      <c r="G60" s="6" t="s">
        <v>2746</v>
      </c>
      <c r="H60" s="6" t="s">
        <v>2747</v>
      </c>
      <c r="I60" s="6" t="s">
        <v>968</v>
      </c>
      <c r="J60" s="6" t="s">
        <v>2748</v>
      </c>
      <c r="K60" s="6" t="s">
        <v>962</v>
      </c>
      <c r="L60" s="6" t="n">
        <f aca="false">COUNTIF(Recipes!$A$2:$A$1000,A60)</f>
        <v>4</v>
      </c>
    </row>
    <row r="61" customFormat="false" ht="15" hidden="false" customHeight="false" outlineLevel="0" collapsed="false">
      <c r="A61" s="6" t="s">
        <v>994</v>
      </c>
      <c r="B61" s="6" t="s">
        <v>242</v>
      </c>
      <c r="C61" s="6" t="s">
        <v>2749</v>
      </c>
      <c r="D61" s="6" t="s">
        <v>989</v>
      </c>
      <c r="E61" s="6" t="s">
        <v>182</v>
      </c>
      <c r="F61" s="6" t="s">
        <v>2499</v>
      </c>
      <c r="G61" s="6" t="s">
        <v>2750</v>
      </c>
      <c r="H61" s="6" t="s">
        <v>2751</v>
      </c>
      <c r="I61" s="6" t="s">
        <v>968</v>
      </c>
      <c r="J61" s="6"/>
      <c r="K61" s="6"/>
      <c r="L61" s="6" t="n">
        <f aca="false">COUNTIF(Recipes!$A$2:$A$1000,A61)</f>
        <v>1</v>
      </c>
    </row>
    <row r="62" customFormat="false" ht="22.35" hidden="false" customHeight="false" outlineLevel="0" collapsed="false">
      <c r="A62" s="6" t="s">
        <v>1195</v>
      </c>
      <c r="B62" s="6" t="s">
        <v>242</v>
      </c>
      <c r="C62" s="6" t="s">
        <v>2749</v>
      </c>
      <c r="D62" s="6" t="s">
        <v>2752</v>
      </c>
      <c r="E62" s="6" t="s">
        <v>77</v>
      </c>
      <c r="F62" s="6" t="s">
        <v>1885</v>
      </c>
      <c r="G62" s="6" t="s">
        <v>2753</v>
      </c>
      <c r="H62" s="6" t="s">
        <v>2754</v>
      </c>
      <c r="I62" s="6" t="s">
        <v>983</v>
      </c>
      <c r="J62" s="6"/>
      <c r="K62" s="6"/>
      <c r="L62" s="6" t="n">
        <f aca="false">COUNTIF(Recipes!$A$2:$A$1000,A62)</f>
        <v>1</v>
      </c>
    </row>
    <row r="63" customFormat="false" ht="15" hidden="false" customHeight="false" outlineLevel="0" collapsed="false">
      <c r="A63" s="6" t="s">
        <v>1205</v>
      </c>
      <c r="B63" s="6" t="s">
        <v>567</v>
      </c>
      <c r="C63" s="6" t="s">
        <v>2749</v>
      </c>
      <c r="D63" s="6" t="s">
        <v>2755</v>
      </c>
      <c r="E63" s="6" t="s">
        <v>182</v>
      </c>
      <c r="F63" s="6" t="s">
        <v>2499</v>
      </c>
      <c r="G63" s="6" t="s">
        <v>2756</v>
      </c>
      <c r="H63" s="6" t="s">
        <v>2757</v>
      </c>
      <c r="I63" s="6" t="s">
        <v>1023</v>
      </c>
      <c r="J63" s="6"/>
      <c r="K63" s="6"/>
      <c r="L63" s="6" t="n">
        <f aca="false">COUNTIF(Recipes!$A$2:$A$1000,A63)</f>
        <v>1</v>
      </c>
    </row>
    <row r="64" customFormat="false" ht="15" hidden="false" customHeight="false" outlineLevel="0" collapsed="false">
      <c r="A64" s="6" t="s">
        <v>1034</v>
      </c>
      <c r="B64" s="6" t="s">
        <v>242</v>
      </c>
      <c r="C64" s="6" t="s">
        <v>2758</v>
      </c>
      <c r="D64" s="6" t="s">
        <v>2759</v>
      </c>
      <c r="E64" s="6" t="s">
        <v>182</v>
      </c>
      <c r="F64" s="6" t="s">
        <v>2499</v>
      </c>
      <c r="G64" s="6" t="s">
        <v>2760</v>
      </c>
      <c r="H64" s="6" t="s">
        <v>2761</v>
      </c>
      <c r="I64" s="6" t="s">
        <v>2708</v>
      </c>
      <c r="J64" s="6"/>
      <c r="K64" s="6"/>
      <c r="L64" s="6" t="n">
        <f aca="false">COUNTIF(Recipes!$A$2:$A$1000,A64)</f>
        <v>3</v>
      </c>
    </row>
    <row r="65" customFormat="false" ht="22.35" hidden="false" customHeight="false" outlineLevel="0" collapsed="false">
      <c r="A65" s="6" t="s">
        <v>1095</v>
      </c>
      <c r="B65" s="6" t="s">
        <v>242</v>
      </c>
      <c r="C65" s="6" t="s">
        <v>2762</v>
      </c>
      <c r="D65" s="6" t="s">
        <v>2763</v>
      </c>
      <c r="E65" s="6" t="s">
        <v>182</v>
      </c>
      <c r="F65" s="6" t="s">
        <v>2499</v>
      </c>
      <c r="G65" s="6" t="s">
        <v>2764</v>
      </c>
      <c r="H65" s="6" t="s">
        <v>2765</v>
      </c>
      <c r="I65" s="6" t="s">
        <v>2486</v>
      </c>
      <c r="J65" s="6"/>
      <c r="K65" s="6" t="s">
        <v>1096</v>
      </c>
      <c r="L65" s="6" t="n">
        <f aca="false">COUNTIF(Recipes!$A$2:$A$1000,A65)</f>
        <v>3</v>
      </c>
    </row>
    <row r="66" customFormat="false" ht="15" hidden="false" customHeight="false" outlineLevel="0" collapsed="false">
      <c r="A66" s="6" t="s">
        <v>1102</v>
      </c>
      <c r="B66" s="6" t="s">
        <v>242</v>
      </c>
      <c r="C66" s="6" t="s">
        <v>2762</v>
      </c>
      <c r="D66" s="6" t="s">
        <v>2766</v>
      </c>
      <c r="E66" s="6" t="s">
        <v>182</v>
      </c>
      <c r="F66" s="6" t="s">
        <v>2499</v>
      </c>
      <c r="G66" s="6" t="s">
        <v>2767</v>
      </c>
      <c r="H66" s="6" t="s">
        <v>2676</v>
      </c>
      <c r="I66" s="6" t="s">
        <v>2486</v>
      </c>
      <c r="J66" s="6"/>
      <c r="K66" s="6" t="s">
        <v>1103</v>
      </c>
      <c r="L66" s="6" t="n">
        <f aca="false">COUNTIF(Recipes!$A$2:$A$1000,A66)</f>
        <v>3</v>
      </c>
    </row>
    <row r="67" customFormat="false" ht="15" hidden="false" customHeight="false" outlineLevel="0" collapsed="false">
      <c r="A67" s="6" t="s">
        <v>1110</v>
      </c>
      <c r="B67" s="6" t="s">
        <v>242</v>
      </c>
      <c r="C67" s="6" t="s">
        <v>2762</v>
      </c>
      <c r="D67" s="6" t="s">
        <v>2768</v>
      </c>
      <c r="E67" s="6" t="s">
        <v>182</v>
      </c>
      <c r="F67" s="6" t="s">
        <v>2499</v>
      </c>
      <c r="G67" s="6" t="s">
        <v>2769</v>
      </c>
      <c r="H67" s="6" t="s">
        <v>2770</v>
      </c>
      <c r="I67" s="6" t="s">
        <v>2486</v>
      </c>
      <c r="J67" s="6"/>
      <c r="K67" s="6" t="s">
        <v>1112</v>
      </c>
      <c r="L67" s="6" t="n">
        <f aca="false">COUNTIF(Recipes!$A$2:$A$1000,A67)</f>
        <v>2</v>
      </c>
    </row>
    <row r="68" customFormat="false" ht="15" hidden="false" customHeight="false" outlineLevel="0" collapsed="false">
      <c r="A68" s="6" t="s">
        <v>1125</v>
      </c>
      <c r="B68" s="6" t="s">
        <v>242</v>
      </c>
      <c r="C68" s="6" t="s">
        <v>2762</v>
      </c>
      <c r="D68" s="6" t="s">
        <v>2771</v>
      </c>
      <c r="E68" s="6" t="s">
        <v>182</v>
      </c>
      <c r="F68" s="6" t="s">
        <v>2499</v>
      </c>
      <c r="G68" s="6" t="s">
        <v>2772</v>
      </c>
      <c r="H68" s="6" t="s">
        <v>2773</v>
      </c>
      <c r="I68" s="6" t="s">
        <v>2486</v>
      </c>
      <c r="J68" s="6"/>
      <c r="K68" s="6"/>
      <c r="L68" s="6" t="n">
        <f aca="false">COUNTIF(Recipes!$A$2:$A$1000,A68)</f>
        <v>3</v>
      </c>
    </row>
    <row r="69" customFormat="false" ht="22.35" hidden="false" customHeight="false" outlineLevel="0" collapsed="false">
      <c r="A69" s="6" t="s">
        <v>1136</v>
      </c>
      <c r="B69" s="6" t="s">
        <v>242</v>
      </c>
      <c r="C69" s="6" t="s">
        <v>2762</v>
      </c>
      <c r="D69" s="6" t="s">
        <v>2774</v>
      </c>
      <c r="E69" s="6" t="s">
        <v>182</v>
      </c>
      <c r="F69" s="6" t="s">
        <v>2499</v>
      </c>
      <c r="G69" s="6" t="s">
        <v>2775</v>
      </c>
      <c r="H69" s="6" t="s">
        <v>2776</v>
      </c>
      <c r="I69" s="6" t="s">
        <v>2486</v>
      </c>
      <c r="J69" s="6"/>
      <c r="K69" s="6"/>
      <c r="L69" s="6" t="n">
        <f aca="false">COUNTIF(Recipes!$A$2:$A$1000,A69)</f>
        <v>2</v>
      </c>
    </row>
    <row r="70" customFormat="false" ht="22.35" hidden="false" customHeight="false" outlineLevel="0" collapsed="false">
      <c r="A70" s="6" t="s">
        <v>2777</v>
      </c>
      <c r="B70" s="6" t="s">
        <v>1841</v>
      </c>
      <c r="C70" s="6" t="s">
        <v>2778</v>
      </c>
      <c r="D70" s="6" t="s">
        <v>2779</v>
      </c>
      <c r="E70" s="6" t="s">
        <v>115</v>
      </c>
      <c r="F70" s="6" t="s">
        <v>115</v>
      </c>
      <c r="G70" s="6" t="s">
        <v>2780</v>
      </c>
      <c r="H70" s="6" t="s">
        <v>2781</v>
      </c>
      <c r="I70" s="6" t="s">
        <v>2782</v>
      </c>
      <c r="J70" s="6"/>
      <c r="K70" s="6" t="s">
        <v>1854</v>
      </c>
      <c r="L70" s="6" t="n">
        <f aca="false">COUNTIF(Recipes!$A$2:$A$1000,A70)</f>
        <v>6</v>
      </c>
    </row>
    <row r="71" customFormat="false" ht="15" hidden="false" customHeight="false" outlineLevel="0" collapsed="false">
      <c r="A71" s="6" t="s">
        <v>2039</v>
      </c>
      <c r="B71" s="6" t="s">
        <v>1841</v>
      </c>
      <c r="C71" s="6" t="s">
        <v>2778</v>
      </c>
      <c r="D71" s="6" t="s">
        <v>2783</v>
      </c>
      <c r="E71" s="6" t="s">
        <v>115</v>
      </c>
      <c r="F71" s="6" t="s">
        <v>115</v>
      </c>
      <c r="G71" s="6" t="s">
        <v>2784</v>
      </c>
      <c r="H71" s="6" t="s">
        <v>2785</v>
      </c>
      <c r="I71" s="6" t="s">
        <v>2782</v>
      </c>
      <c r="J71" s="6"/>
      <c r="K71" s="6" t="s">
        <v>1854</v>
      </c>
      <c r="L71" s="6" t="n">
        <f aca="false">COUNTIF(Recipes!$A$2:$A$1000,A71)</f>
        <v>6</v>
      </c>
    </row>
    <row r="72" customFormat="false" ht="15" hidden="false" customHeight="false" outlineLevel="0" collapsed="false">
      <c r="A72" s="6" t="s">
        <v>2008</v>
      </c>
      <c r="B72" s="6" t="s">
        <v>1841</v>
      </c>
      <c r="C72" s="6" t="s">
        <v>2778</v>
      </c>
      <c r="D72" s="6" t="s">
        <v>2786</v>
      </c>
      <c r="E72" s="6" t="s">
        <v>115</v>
      </c>
      <c r="F72" s="6" t="s">
        <v>115</v>
      </c>
      <c r="G72" s="6" t="s">
        <v>2787</v>
      </c>
      <c r="H72" s="6" t="s">
        <v>2788</v>
      </c>
      <c r="I72" s="6" t="s">
        <v>2782</v>
      </c>
      <c r="J72" s="6"/>
      <c r="K72" s="6" t="s">
        <v>1854</v>
      </c>
      <c r="L72" s="6" t="n">
        <f aca="false">COUNTIF(Recipes!$A$2:$A$1000,A72)</f>
        <v>6</v>
      </c>
    </row>
    <row r="73" customFormat="false" ht="15" hidden="false" customHeight="false" outlineLevel="0" collapsed="false">
      <c r="A73" s="6" t="s">
        <v>2016</v>
      </c>
      <c r="B73" s="6" t="s">
        <v>1841</v>
      </c>
      <c r="C73" s="6" t="s">
        <v>2778</v>
      </c>
      <c r="D73" s="6" t="s">
        <v>2789</v>
      </c>
      <c r="E73" s="6" t="s">
        <v>115</v>
      </c>
      <c r="F73" s="6" t="s">
        <v>115</v>
      </c>
      <c r="G73" s="6" t="s">
        <v>2790</v>
      </c>
      <c r="H73" s="6" t="s">
        <v>2791</v>
      </c>
      <c r="I73" s="6" t="s">
        <v>2782</v>
      </c>
      <c r="J73" s="6"/>
      <c r="K73" s="6" t="s">
        <v>1854</v>
      </c>
      <c r="L73" s="6" t="n">
        <f aca="false">COUNTIF(Recipes!$A$2:$A$1000,A73)</f>
        <v>5</v>
      </c>
    </row>
    <row r="74" customFormat="false" ht="15" hidden="false" customHeight="false" outlineLevel="0" collapsed="false">
      <c r="A74" s="6" t="s">
        <v>1905</v>
      </c>
      <c r="B74" s="6" t="s">
        <v>1841</v>
      </c>
      <c r="C74" s="6" t="s">
        <v>2778</v>
      </c>
      <c r="D74" s="6" t="s">
        <v>2792</v>
      </c>
      <c r="E74" s="6" t="s">
        <v>115</v>
      </c>
      <c r="F74" s="6" t="s">
        <v>115</v>
      </c>
      <c r="G74" s="6" t="s">
        <v>2793</v>
      </c>
      <c r="H74" s="6" t="s">
        <v>2794</v>
      </c>
      <c r="I74" s="6" t="s">
        <v>2782</v>
      </c>
      <c r="J74" s="6"/>
      <c r="K74" s="6" t="s">
        <v>1854</v>
      </c>
      <c r="L74" s="6" t="n">
        <f aca="false">COUNTIF(Recipes!$A$2:$A$1000,A74)</f>
        <v>5</v>
      </c>
    </row>
    <row r="75" customFormat="false" ht="15" hidden="false" customHeight="false" outlineLevel="0" collapsed="false">
      <c r="A75" s="6" t="s">
        <v>2051</v>
      </c>
      <c r="B75" s="6" t="s">
        <v>1841</v>
      </c>
      <c r="C75" s="6" t="s">
        <v>2778</v>
      </c>
      <c r="D75" s="6" t="s">
        <v>2795</v>
      </c>
      <c r="E75" s="6" t="s">
        <v>115</v>
      </c>
      <c r="F75" s="6" t="s">
        <v>115</v>
      </c>
      <c r="G75" s="6" t="s">
        <v>2796</v>
      </c>
      <c r="H75" s="6" t="s">
        <v>2797</v>
      </c>
      <c r="I75" s="6" t="s">
        <v>2782</v>
      </c>
      <c r="J75" s="6"/>
      <c r="K75" s="6"/>
      <c r="L75" s="6" t="n">
        <f aca="false">COUNTIF(Recipes!$A$2:$A$1000,A75)</f>
        <v>3</v>
      </c>
    </row>
    <row r="76" customFormat="false" ht="15" hidden="false" customHeight="false" outlineLevel="0" collapsed="false">
      <c r="A76" s="6" t="s">
        <v>1911</v>
      </c>
      <c r="B76" s="6" t="s">
        <v>1841</v>
      </c>
      <c r="C76" s="6" t="s">
        <v>2798</v>
      </c>
      <c r="D76" s="6" t="s">
        <v>2799</v>
      </c>
      <c r="E76" s="6" t="s">
        <v>77</v>
      </c>
      <c r="F76" s="6" t="s">
        <v>1885</v>
      </c>
      <c r="G76" s="6" t="s">
        <v>2800</v>
      </c>
      <c r="H76" s="6" t="s">
        <v>2801</v>
      </c>
      <c r="I76" s="6" t="s">
        <v>2802</v>
      </c>
      <c r="J76" s="6"/>
      <c r="K76" s="6"/>
      <c r="L76" s="6" t="n">
        <f aca="false">COUNTIF(Recipes!$A$2:$A$1000,A76)</f>
        <v>3</v>
      </c>
    </row>
    <row r="77" customFormat="false" ht="15" hidden="false" customHeight="false" outlineLevel="0" collapsed="false">
      <c r="A77" s="6" t="s">
        <v>1957</v>
      </c>
      <c r="B77" s="6" t="s">
        <v>1841</v>
      </c>
      <c r="C77" s="6" t="s">
        <v>2798</v>
      </c>
      <c r="D77" s="6" t="s">
        <v>2803</v>
      </c>
      <c r="E77" s="6" t="s">
        <v>115</v>
      </c>
      <c r="F77" s="6" t="s">
        <v>115</v>
      </c>
      <c r="G77" s="6" t="s">
        <v>2804</v>
      </c>
      <c r="H77" s="6" t="s">
        <v>2805</v>
      </c>
      <c r="I77" s="6" t="s">
        <v>2806</v>
      </c>
      <c r="J77" s="6"/>
      <c r="K77" s="6"/>
      <c r="L77" s="6" t="n">
        <f aca="false">COUNTIF(Recipes!$A$2:$A$1000,A77)</f>
        <v>2</v>
      </c>
    </row>
    <row r="78" customFormat="false" ht="15" hidden="false" customHeight="false" outlineLevel="0" collapsed="false">
      <c r="A78" s="6" t="s">
        <v>1942</v>
      </c>
      <c r="B78" s="6" t="s">
        <v>1841</v>
      </c>
      <c r="C78" s="6" t="s">
        <v>1934</v>
      </c>
      <c r="D78" s="6" t="s">
        <v>2807</v>
      </c>
      <c r="E78" s="6" t="s">
        <v>115</v>
      </c>
      <c r="F78" s="6" t="s">
        <v>115</v>
      </c>
      <c r="G78" s="6" t="s">
        <v>2808</v>
      </c>
      <c r="H78" s="6" t="s">
        <v>2809</v>
      </c>
      <c r="I78" s="6" t="s">
        <v>2810</v>
      </c>
      <c r="J78" s="6" t="s">
        <v>2811</v>
      </c>
      <c r="K78" s="6"/>
      <c r="L78" s="6" t="n">
        <f aca="false">COUNTIF(Recipes!$A$2:$A$1000,A78)</f>
        <v>2</v>
      </c>
    </row>
    <row r="79" customFormat="false" ht="15" hidden="false" customHeight="false" outlineLevel="0" collapsed="false">
      <c r="A79" s="6" t="s">
        <v>2812</v>
      </c>
      <c r="B79" s="6" t="s">
        <v>1841</v>
      </c>
      <c r="C79" s="6" t="s">
        <v>2813</v>
      </c>
      <c r="D79" s="6" t="s">
        <v>2814</v>
      </c>
      <c r="E79" s="6" t="s">
        <v>115</v>
      </c>
      <c r="F79" s="6" t="s">
        <v>115</v>
      </c>
      <c r="G79" s="6" t="s">
        <v>2815</v>
      </c>
      <c r="H79" s="6" t="s">
        <v>2816</v>
      </c>
      <c r="I79" s="6" t="s">
        <v>2782</v>
      </c>
      <c r="J79" s="6"/>
      <c r="K79" s="6"/>
      <c r="L79" s="6" t="n">
        <f aca="false">COUNTIF(Recipes!$A$2:$A$1000,A79)</f>
        <v>0</v>
      </c>
    </row>
    <row r="80" customFormat="false" ht="15" hidden="false" customHeight="false" outlineLevel="0" collapsed="false">
      <c r="A80" s="6" t="s">
        <v>2149</v>
      </c>
      <c r="B80" s="6" t="s">
        <v>2139</v>
      </c>
      <c r="C80" s="6" t="s">
        <v>2817</v>
      </c>
      <c r="D80" s="6" t="s">
        <v>2818</v>
      </c>
      <c r="E80" s="6" t="s">
        <v>115</v>
      </c>
      <c r="F80" s="6" t="s">
        <v>115</v>
      </c>
      <c r="G80" s="6" t="s">
        <v>2819</v>
      </c>
      <c r="H80" s="6" t="s">
        <v>2820</v>
      </c>
      <c r="I80" s="6" t="s">
        <v>2821</v>
      </c>
      <c r="J80" s="6"/>
      <c r="K80" s="6"/>
      <c r="L80" s="6" t="n">
        <f aca="false">COUNTIF(Recipes!$A$2:$A$1000,A80)</f>
        <v>6</v>
      </c>
    </row>
    <row r="81" customFormat="false" ht="15" hidden="false" customHeight="false" outlineLevel="0" collapsed="false">
      <c r="A81" s="6" t="s">
        <v>2177</v>
      </c>
      <c r="B81" s="6" t="s">
        <v>2139</v>
      </c>
      <c r="C81" s="6" t="s">
        <v>2171</v>
      </c>
      <c r="D81" s="6" t="s">
        <v>2822</v>
      </c>
      <c r="E81" s="6" t="s">
        <v>115</v>
      </c>
      <c r="F81" s="6" t="s">
        <v>115</v>
      </c>
      <c r="G81" s="6" t="s">
        <v>2823</v>
      </c>
      <c r="H81" s="6" t="s">
        <v>2824</v>
      </c>
      <c r="I81" s="6" t="s">
        <v>2825</v>
      </c>
      <c r="J81" s="6"/>
      <c r="K81" s="6"/>
      <c r="L81" s="6" t="n">
        <f aca="false">COUNTIF(Recipes!$A$2:$A$1000,A81)</f>
        <v>1</v>
      </c>
    </row>
    <row r="82" customFormat="false" ht="15" hidden="false" customHeight="false" outlineLevel="0" collapsed="false">
      <c r="A82" s="6" t="s">
        <v>1489</v>
      </c>
      <c r="B82" s="6" t="s">
        <v>689</v>
      </c>
      <c r="C82" s="6" t="s">
        <v>2826</v>
      </c>
      <c r="D82" s="6" t="s">
        <v>2827</v>
      </c>
      <c r="E82" s="6" t="s">
        <v>115</v>
      </c>
      <c r="F82" s="6" t="s">
        <v>115</v>
      </c>
      <c r="G82" s="6" t="s">
        <v>2828</v>
      </c>
      <c r="H82" s="6" t="s">
        <v>2829</v>
      </c>
      <c r="I82" s="6" t="s">
        <v>1186</v>
      </c>
      <c r="J82" s="6" t="s">
        <v>2830</v>
      </c>
      <c r="K82" s="6" t="s">
        <v>1348</v>
      </c>
      <c r="L82" s="6" t="n">
        <f aca="false">COUNTIF(Recipes!$A$2:$A$1000,A82)</f>
        <v>6</v>
      </c>
    </row>
    <row r="83" customFormat="false" ht="15" hidden="false" customHeight="false" outlineLevel="0" collapsed="false">
      <c r="A83" s="6" t="s">
        <v>1506</v>
      </c>
      <c r="B83" s="6" t="s">
        <v>689</v>
      </c>
      <c r="C83" s="6" t="s">
        <v>2826</v>
      </c>
      <c r="D83" s="6" t="s">
        <v>2831</v>
      </c>
      <c r="E83" s="6" t="s">
        <v>115</v>
      </c>
      <c r="F83" s="6" t="s">
        <v>115</v>
      </c>
      <c r="G83" s="6" t="s">
        <v>2832</v>
      </c>
      <c r="H83" s="6" t="s">
        <v>1735</v>
      </c>
      <c r="I83" s="6" t="s">
        <v>1186</v>
      </c>
      <c r="J83" s="6"/>
      <c r="K83" s="6" t="s">
        <v>1348</v>
      </c>
      <c r="L83" s="6" t="n">
        <f aca="false">COUNTIF(Recipes!$A$2:$A$1000,A83)</f>
        <v>7</v>
      </c>
    </row>
    <row r="84" customFormat="false" ht="15" hidden="false" customHeight="false" outlineLevel="0" collapsed="false">
      <c r="A84" s="6" t="s">
        <v>1704</v>
      </c>
      <c r="B84" s="6" t="s">
        <v>689</v>
      </c>
      <c r="C84" s="6" t="s">
        <v>2826</v>
      </c>
      <c r="D84" s="6" t="s">
        <v>2833</v>
      </c>
      <c r="E84" s="6" t="s">
        <v>115</v>
      </c>
      <c r="F84" s="6" t="s">
        <v>115</v>
      </c>
      <c r="G84" s="6" t="s">
        <v>2832</v>
      </c>
      <c r="H84" s="6" t="s">
        <v>1750</v>
      </c>
      <c r="I84" s="6" t="s">
        <v>1186</v>
      </c>
      <c r="J84" s="6"/>
      <c r="K84" s="6" t="s">
        <v>1348</v>
      </c>
      <c r="L84" s="6" t="n">
        <f aca="false">COUNTIF(Recipes!$A$2:$A$1000,A84)</f>
        <v>4</v>
      </c>
    </row>
    <row r="85" customFormat="false" ht="15" hidden="false" customHeight="false" outlineLevel="0" collapsed="false">
      <c r="A85" s="6" t="s">
        <v>1713</v>
      </c>
      <c r="B85" s="6" t="s">
        <v>689</v>
      </c>
      <c r="C85" s="6" t="s">
        <v>2826</v>
      </c>
      <c r="D85" s="6" t="s">
        <v>2834</v>
      </c>
      <c r="E85" s="6" t="s">
        <v>115</v>
      </c>
      <c r="F85" s="6" t="s">
        <v>115</v>
      </c>
      <c r="G85" s="6" t="s">
        <v>2835</v>
      </c>
      <c r="H85" s="6" t="s">
        <v>2829</v>
      </c>
      <c r="I85" s="6" t="s">
        <v>1186</v>
      </c>
      <c r="J85" s="6"/>
      <c r="K85" s="6" t="s">
        <v>1348</v>
      </c>
      <c r="L85" s="6" t="n">
        <f aca="false">COUNTIF(Recipes!$A$2:$A$1000,A85)</f>
        <v>2</v>
      </c>
    </row>
    <row r="86" customFormat="false" ht="15" hidden="false" customHeight="false" outlineLevel="0" collapsed="false">
      <c r="A86" s="6" t="s">
        <v>1553</v>
      </c>
      <c r="B86" s="6" t="s">
        <v>689</v>
      </c>
      <c r="C86" s="6" t="s">
        <v>2836</v>
      </c>
      <c r="D86" s="6" t="s">
        <v>2837</v>
      </c>
      <c r="E86" s="6" t="s">
        <v>115</v>
      </c>
      <c r="F86" s="6" t="s">
        <v>115</v>
      </c>
      <c r="G86" s="6" t="s">
        <v>2838</v>
      </c>
      <c r="H86" s="6" t="s">
        <v>2839</v>
      </c>
      <c r="I86" s="6" t="s">
        <v>2840</v>
      </c>
      <c r="J86" s="6" t="s">
        <v>2841</v>
      </c>
      <c r="K86" s="6" t="s">
        <v>1348</v>
      </c>
      <c r="L86" s="6" t="n">
        <f aca="false">COUNTIF(Recipes!$A$2:$A$1000,A86)</f>
        <v>2</v>
      </c>
    </row>
    <row r="87" customFormat="false" ht="15" hidden="false" customHeight="false" outlineLevel="0" collapsed="false">
      <c r="A87" s="6" t="s">
        <v>1313</v>
      </c>
      <c r="B87" s="6" t="s">
        <v>689</v>
      </c>
      <c r="C87" s="6" t="s">
        <v>2842</v>
      </c>
      <c r="D87" s="6" t="s">
        <v>2843</v>
      </c>
      <c r="E87" s="6" t="s">
        <v>115</v>
      </c>
      <c r="F87" s="6" t="s">
        <v>115</v>
      </c>
      <c r="G87" s="6" t="s">
        <v>2844</v>
      </c>
      <c r="H87" s="6" t="s">
        <v>2845</v>
      </c>
      <c r="I87" s="6" t="s">
        <v>1366</v>
      </c>
      <c r="J87" s="6"/>
      <c r="K87" s="6"/>
      <c r="L87" s="6" t="n">
        <f aca="false">COUNTIF(Recipes!$A$2:$A$1000,A87)</f>
        <v>7</v>
      </c>
    </row>
    <row r="88" customFormat="false" ht="15" hidden="false" customHeight="false" outlineLevel="0" collapsed="false">
      <c r="A88" s="6" t="s">
        <v>1260</v>
      </c>
      <c r="B88" s="6" t="s">
        <v>1226</v>
      </c>
      <c r="C88" s="6" t="s">
        <v>2826</v>
      </c>
      <c r="D88" s="6" t="s">
        <v>2846</v>
      </c>
      <c r="E88" s="6" t="s">
        <v>115</v>
      </c>
      <c r="F88" s="6" t="s">
        <v>115</v>
      </c>
      <c r="G88" s="6" t="s">
        <v>2832</v>
      </c>
      <c r="H88" s="6" t="s">
        <v>2847</v>
      </c>
      <c r="I88" s="6" t="s">
        <v>1186</v>
      </c>
      <c r="J88" s="6"/>
      <c r="K88" s="6" t="s">
        <v>1235</v>
      </c>
      <c r="L88" s="6" t="n">
        <f aca="false">COUNTIF(Recipes!$A$2:$A$1000,A88)</f>
        <v>6</v>
      </c>
    </row>
    <row r="89" customFormat="false" ht="15" hidden="false" customHeight="false" outlineLevel="0" collapsed="false">
      <c r="A89" s="6" t="s">
        <v>1757</v>
      </c>
      <c r="B89" s="6" t="s">
        <v>689</v>
      </c>
      <c r="C89" s="6" t="s">
        <v>2826</v>
      </c>
      <c r="D89" s="6" t="s">
        <v>2848</v>
      </c>
      <c r="E89" s="6" t="s">
        <v>115</v>
      </c>
      <c r="F89" s="6" t="s">
        <v>115</v>
      </c>
      <c r="G89" s="6" t="s">
        <v>2849</v>
      </c>
      <c r="H89" s="6" t="s">
        <v>2850</v>
      </c>
      <c r="I89" s="6" t="s">
        <v>2851</v>
      </c>
      <c r="J89" s="6"/>
      <c r="K89" s="6"/>
      <c r="L89" s="6" t="n">
        <f aca="false">COUNTIF(Recipes!$A$2:$A$1000,A89)</f>
        <v>2</v>
      </c>
    </row>
    <row r="90" customFormat="false" ht="15" hidden="false" customHeight="false" outlineLevel="0" collapsed="false">
      <c r="A90" s="6" t="s">
        <v>1522</v>
      </c>
      <c r="B90" s="6" t="s">
        <v>689</v>
      </c>
      <c r="C90" s="6" t="s">
        <v>2836</v>
      </c>
      <c r="D90" s="6" t="s">
        <v>2852</v>
      </c>
      <c r="E90" s="6" t="s">
        <v>77</v>
      </c>
      <c r="F90" s="6" t="s">
        <v>1885</v>
      </c>
      <c r="G90" s="6" t="s">
        <v>2853</v>
      </c>
      <c r="H90" s="6" t="s">
        <v>2854</v>
      </c>
      <c r="I90" s="6" t="s">
        <v>2855</v>
      </c>
      <c r="J90" s="6" t="s">
        <v>2856</v>
      </c>
      <c r="K90" s="6" t="s">
        <v>1524</v>
      </c>
      <c r="L90" s="6" t="n">
        <f aca="false">COUNTIF(Recipes!$A$2:$A$1000,A90)</f>
        <v>2</v>
      </c>
    </row>
    <row r="91" customFormat="false" ht="15" hidden="false" customHeight="false" outlineLevel="0" collapsed="false">
      <c r="A91" s="6" t="s">
        <v>1613</v>
      </c>
      <c r="B91" s="6" t="s">
        <v>689</v>
      </c>
      <c r="C91" s="6" t="s">
        <v>2836</v>
      </c>
      <c r="D91" s="6" t="s">
        <v>2857</v>
      </c>
      <c r="E91" s="6" t="s">
        <v>115</v>
      </c>
      <c r="F91" s="6" t="s">
        <v>115</v>
      </c>
      <c r="G91" s="6" t="s">
        <v>2858</v>
      </c>
      <c r="H91" s="6" t="s">
        <v>2855</v>
      </c>
      <c r="I91" s="6" t="s">
        <v>2855</v>
      </c>
      <c r="J91" s="6" t="s">
        <v>2859</v>
      </c>
      <c r="K91" s="6"/>
      <c r="L91" s="6" t="n">
        <f aca="false">COUNTIF(Recipes!$A$2:$A$1000,A91)</f>
        <v>1</v>
      </c>
    </row>
    <row r="92" customFormat="false" ht="15" hidden="false" customHeight="false" outlineLevel="0" collapsed="false">
      <c r="A92" s="6" t="s">
        <v>1577</v>
      </c>
      <c r="B92" s="6" t="s">
        <v>689</v>
      </c>
      <c r="C92" s="6" t="s">
        <v>2836</v>
      </c>
      <c r="D92" s="6" t="s">
        <v>2860</v>
      </c>
      <c r="E92" s="6" t="s">
        <v>77</v>
      </c>
      <c r="F92" s="6" t="s">
        <v>1885</v>
      </c>
      <c r="G92" s="6" t="s">
        <v>2861</v>
      </c>
      <c r="H92" s="6" t="s">
        <v>2862</v>
      </c>
      <c r="I92" s="6" t="s">
        <v>2863</v>
      </c>
      <c r="J92" s="6" t="s">
        <v>2864</v>
      </c>
      <c r="K92" s="6" t="s">
        <v>1524</v>
      </c>
      <c r="L92" s="6" t="n">
        <f aca="false">COUNTIF(Recipes!$A$2:$A$1000,A92)</f>
        <v>2</v>
      </c>
    </row>
    <row r="93" customFormat="false" ht="15" hidden="false" customHeight="false" outlineLevel="0" collapsed="false">
      <c r="A93" s="6" t="s">
        <v>1596</v>
      </c>
      <c r="B93" s="6" t="s">
        <v>689</v>
      </c>
      <c r="C93" s="6" t="s">
        <v>2836</v>
      </c>
      <c r="D93" s="6" t="s">
        <v>2865</v>
      </c>
      <c r="E93" s="6" t="s">
        <v>115</v>
      </c>
      <c r="F93" s="6" t="s">
        <v>115</v>
      </c>
      <c r="G93" s="6" t="s">
        <v>2866</v>
      </c>
      <c r="H93" s="6" t="s">
        <v>1588</v>
      </c>
      <c r="I93" s="6" t="s">
        <v>2867</v>
      </c>
      <c r="J93" s="6" t="s">
        <v>2868</v>
      </c>
      <c r="K93" s="6" t="s">
        <v>1524</v>
      </c>
      <c r="L93" s="6" t="n">
        <f aca="false">COUNTIF(Recipes!$A$2:$A$1000,A93)</f>
        <v>6</v>
      </c>
    </row>
    <row r="94" customFormat="false" ht="15" hidden="false" customHeight="false" outlineLevel="0" collapsed="false">
      <c r="A94" s="6" t="s">
        <v>1604</v>
      </c>
      <c r="B94" s="6" t="s">
        <v>689</v>
      </c>
      <c r="C94" s="6" t="s">
        <v>2836</v>
      </c>
      <c r="D94" s="6" t="s">
        <v>2869</v>
      </c>
      <c r="E94" s="6" t="s">
        <v>115</v>
      </c>
      <c r="F94" s="6" t="s">
        <v>115</v>
      </c>
      <c r="G94" s="6" t="s">
        <v>2870</v>
      </c>
      <c r="H94" s="6" t="s">
        <v>2871</v>
      </c>
      <c r="I94" s="6" t="s">
        <v>2872</v>
      </c>
      <c r="J94" s="6"/>
      <c r="K94" s="6" t="s">
        <v>1524</v>
      </c>
      <c r="L94" s="6" t="n">
        <f aca="false">COUNTIF(Recipes!$A$2:$A$1000,A94)</f>
        <v>5</v>
      </c>
    </row>
    <row r="95" customFormat="false" ht="15" hidden="false" customHeight="false" outlineLevel="0" collapsed="false">
      <c r="A95" s="6" t="s">
        <v>2873</v>
      </c>
      <c r="B95" s="6" t="s">
        <v>689</v>
      </c>
      <c r="C95" s="6" t="s">
        <v>2842</v>
      </c>
      <c r="D95" s="6" t="s">
        <v>2874</v>
      </c>
      <c r="E95" s="6" t="s">
        <v>94</v>
      </c>
      <c r="F95" s="6" t="s">
        <v>94</v>
      </c>
      <c r="G95" s="6" t="s">
        <v>2875</v>
      </c>
      <c r="H95" s="6" t="s">
        <v>1391</v>
      </c>
      <c r="I95" s="6" t="s">
        <v>2876</v>
      </c>
      <c r="J95" s="6" t="s">
        <v>2877</v>
      </c>
      <c r="K95" s="6" t="s">
        <v>1524</v>
      </c>
      <c r="L95" s="6" t="n">
        <f aca="false">COUNTIF(Recipes!$A$2:$A$1000,A95)</f>
        <v>0</v>
      </c>
    </row>
    <row r="96" customFormat="false" ht="15" hidden="false" customHeight="false" outlineLevel="0" collapsed="false">
      <c r="A96" s="6" t="s">
        <v>1804</v>
      </c>
      <c r="B96" s="6" t="s">
        <v>689</v>
      </c>
      <c r="C96" s="6" t="s">
        <v>1796</v>
      </c>
      <c r="D96" s="6" t="s">
        <v>2878</v>
      </c>
      <c r="E96" s="6" t="s">
        <v>115</v>
      </c>
      <c r="F96" s="6" t="s">
        <v>115</v>
      </c>
      <c r="G96" s="6" t="s">
        <v>2879</v>
      </c>
      <c r="H96" s="6" t="s">
        <v>2880</v>
      </c>
      <c r="I96" s="6" t="s">
        <v>2881</v>
      </c>
      <c r="J96" s="6" t="s">
        <v>2882</v>
      </c>
      <c r="K96" s="6"/>
      <c r="L96" s="6" t="n">
        <f aca="false">COUNTIF(Recipes!$A$2:$A$1000,A96)</f>
        <v>3</v>
      </c>
    </row>
    <row r="97" customFormat="false" ht="15" hidden="false" customHeight="false" outlineLevel="0" collapsed="false">
      <c r="A97" s="6" t="s">
        <v>1233</v>
      </c>
      <c r="B97" s="6" t="s">
        <v>1226</v>
      </c>
      <c r="C97" s="6" t="s">
        <v>1226</v>
      </c>
      <c r="D97" s="6" t="s">
        <v>2883</v>
      </c>
      <c r="E97" s="6" t="s">
        <v>77</v>
      </c>
      <c r="F97" s="6" t="s">
        <v>1885</v>
      </c>
      <c r="G97" s="6" t="s">
        <v>2884</v>
      </c>
      <c r="H97" s="6" t="s">
        <v>2885</v>
      </c>
      <c r="I97" s="6" t="s">
        <v>1241</v>
      </c>
      <c r="J97" s="6"/>
      <c r="K97" s="6" t="s">
        <v>1235</v>
      </c>
      <c r="L97" s="6" t="n">
        <f aca="false">COUNTIF(Recipes!$A$2:$A$1000,A97)</f>
        <v>4</v>
      </c>
    </row>
    <row r="98" customFormat="false" ht="15" hidden="false" customHeight="false" outlineLevel="0" collapsed="false">
      <c r="A98" s="6" t="s">
        <v>1242</v>
      </c>
      <c r="B98" s="6" t="s">
        <v>1226</v>
      </c>
      <c r="C98" s="6" t="s">
        <v>1226</v>
      </c>
      <c r="D98" s="6" t="s">
        <v>2886</v>
      </c>
      <c r="E98" s="6" t="s">
        <v>77</v>
      </c>
      <c r="F98" s="6" t="s">
        <v>1885</v>
      </c>
      <c r="G98" s="6" t="s">
        <v>2887</v>
      </c>
      <c r="H98" s="6" t="s">
        <v>2888</v>
      </c>
      <c r="I98" s="6" t="s">
        <v>1241</v>
      </c>
      <c r="J98" s="6"/>
      <c r="K98" s="6" t="s">
        <v>1235</v>
      </c>
      <c r="L98" s="6" t="n">
        <f aca="false">COUNTIF(Recipes!$A$2:$A$1000,A98)</f>
        <v>3</v>
      </c>
    </row>
    <row r="99" customFormat="false" ht="15" hidden="false" customHeight="false" outlineLevel="0" collapsed="false">
      <c r="A99" s="6" t="s">
        <v>1254</v>
      </c>
      <c r="B99" s="6" t="s">
        <v>1226</v>
      </c>
      <c r="C99" s="6" t="s">
        <v>1226</v>
      </c>
      <c r="D99" s="6" t="s">
        <v>2889</v>
      </c>
      <c r="E99" s="6" t="s">
        <v>77</v>
      </c>
      <c r="F99" s="6" t="s">
        <v>1885</v>
      </c>
      <c r="G99" s="6" t="s">
        <v>2890</v>
      </c>
      <c r="H99" s="6" t="s">
        <v>2885</v>
      </c>
      <c r="I99" s="6" t="s">
        <v>1241</v>
      </c>
      <c r="J99" s="6"/>
      <c r="K99" s="6" t="s">
        <v>1235</v>
      </c>
      <c r="L99" s="6" t="n">
        <f aca="false">COUNTIF(Recipes!$A$2:$A$1000,A99)</f>
        <v>1</v>
      </c>
    </row>
    <row r="100" customFormat="false" ht="15" hidden="false" customHeight="false" outlineLevel="0" collapsed="false">
      <c r="A100" s="6" t="s">
        <v>1168</v>
      </c>
      <c r="B100" s="6" t="s">
        <v>242</v>
      </c>
      <c r="C100" s="6" t="s">
        <v>2891</v>
      </c>
      <c r="D100" s="6" t="s">
        <v>2892</v>
      </c>
      <c r="E100" s="6" t="s">
        <v>182</v>
      </c>
      <c r="F100" s="6" t="s">
        <v>2499</v>
      </c>
      <c r="G100" s="6" t="s">
        <v>2893</v>
      </c>
      <c r="H100" s="6" t="s">
        <v>2894</v>
      </c>
      <c r="I100" s="6" t="s">
        <v>1175</v>
      </c>
      <c r="J100" s="6" t="s">
        <v>2895</v>
      </c>
      <c r="K100" s="6"/>
      <c r="L100" s="6" t="n">
        <f aca="false">COUNTIF(Recipes!$A$2:$A$1000,A100)</f>
        <v>3</v>
      </c>
    </row>
    <row r="101" customFormat="false" ht="15" hidden="false" customHeight="false" outlineLevel="0" collapsed="false">
      <c r="A101" s="6" t="s">
        <v>2896</v>
      </c>
      <c r="B101" s="6" t="s">
        <v>567</v>
      </c>
      <c r="C101" s="6" t="s">
        <v>567</v>
      </c>
      <c r="D101" s="6" t="s">
        <v>2897</v>
      </c>
      <c r="E101" s="6" t="s">
        <v>77</v>
      </c>
      <c r="F101" s="6" t="s">
        <v>1885</v>
      </c>
      <c r="G101" s="6" t="s">
        <v>2898</v>
      </c>
      <c r="H101" s="6" t="s">
        <v>2899</v>
      </c>
      <c r="I101" s="6" t="s">
        <v>2900</v>
      </c>
      <c r="J101" s="6"/>
      <c r="K101" s="6"/>
      <c r="L101" s="6" t="n">
        <f aca="false">COUNTIF(Recipes!$A$2:$A$1000,A101)</f>
        <v>6</v>
      </c>
    </row>
    <row r="102" customFormat="false" ht="15" hidden="false" customHeight="false" outlineLevel="0" collapsed="false">
      <c r="A102" s="6" t="s">
        <v>2331</v>
      </c>
      <c r="B102" s="6" t="s">
        <v>567</v>
      </c>
      <c r="C102" s="6" t="s">
        <v>567</v>
      </c>
      <c r="D102" s="6" t="s">
        <v>2901</v>
      </c>
      <c r="E102" s="6" t="s">
        <v>115</v>
      </c>
      <c r="F102" s="6" t="s">
        <v>115</v>
      </c>
      <c r="G102" s="6" t="s">
        <v>2902</v>
      </c>
      <c r="H102" s="6" t="s">
        <v>1391</v>
      </c>
      <c r="I102" s="6" t="s">
        <v>2903</v>
      </c>
      <c r="J102" s="6" t="s">
        <v>2904</v>
      </c>
      <c r="K102" s="6"/>
      <c r="L102" s="6" t="n">
        <f aca="false">COUNTIF(Recipes!$A$2:$A$1000,A102)</f>
        <v>5</v>
      </c>
    </row>
  </sheetData>
  <autoFilter ref="A1:L10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34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30"/>
    <col collapsed="false" customWidth="true" hidden="false" outlineLevel="0" max="12" min="11" style="0" width="8"/>
  </cols>
  <sheetData>
    <row r="1" customFormat="false" ht="31.5" hidden="false" customHeight="true" outlineLevel="0" collapsed="false">
      <c r="A1" s="4" t="s">
        <v>2444</v>
      </c>
      <c r="B1" s="4" t="s">
        <v>2905</v>
      </c>
      <c r="C1" s="4" t="s">
        <v>50</v>
      </c>
      <c r="D1" s="4" t="s">
        <v>2906</v>
      </c>
      <c r="E1" s="4" t="s">
        <v>2907</v>
      </c>
      <c r="F1" s="4" t="s">
        <v>2908</v>
      </c>
      <c r="G1" s="4" t="s">
        <v>2909</v>
      </c>
      <c r="H1" s="4" t="s">
        <v>2910</v>
      </c>
      <c r="I1" s="4" t="s">
        <v>2911</v>
      </c>
      <c r="J1" s="4" t="s">
        <v>2912</v>
      </c>
      <c r="K1" s="4" t="s">
        <v>2913</v>
      </c>
      <c r="L1" s="4" t="s">
        <v>66</v>
      </c>
    </row>
    <row r="2" customFormat="false" ht="22.35" hidden="false" customHeight="false" outlineLevel="0" collapsed="false">
      <c r="A2" s="6" t="s">
        <v>2389</v>
      </c>
      <c r="B2" s="8" t="str">
        <f aca="false">INDEX(Work_Items!$D$2:$D$300,MATCH(A2,Work_Items!$A$2:$A$300,0))</f>
        <v>Construction water (tanker / bore)</v>
      </c>
      <c r="C2" s="6" t="s">
        <v>2380</v>
      </c>
      <c r="D2" s="8" t="str">
        <f aca="false">INDEX(Material_Master!$D$2:$D$1000,MATCH(C2,Material_Master!$A$2:$A$1000,0))</f>
        <v>Construction water (tanker/bore) for mixing &amp; curing</v>
      </c>
      <c r="E2" s="6" t="s">
        <v>2914</v>
      </c>
      <c r="F2" s="6"/>
      <c r="G2" s="6"/>
      <c r="H2" s="9" t="n">
        <f aca="false">Coefficients!$D$2</f>
        <v>1</v>
      </c>
      <c r="I2" s="6" t="s">
        <v>2915</v>
      </c>
      <c r="J2" s="6" t="s">
        <v>2916</v>
      </c>
      <c r="K2" s="8" t="str">
        <f aca="false">INDEX(Material_Master!$F$2:$F$1000,MATCH(C2,Material_Master!$A$2:$A$1000,0))</f>
        <v>gal</v>
      </c>
      <c r="L2" s="10" t="n">
        <f aca="false">INDEX(Material_Master!$Q$2:$Q$1000,MATCH(C2,Material_Master!$A$2:$A$1000,0))</f>
        <v>0</v>
      </c>
    </row>
    <row r="3" customFormat="false" ht="22.35" hidden="false" customHeight="false" outlineLevel="0" collapsed="false">
      <c r="A3" s="6" t="s">
        <v>160</v>
      </c>
      <c r="B3" s="8" t="str">
        <f aca="false">INDEX(Work_Items!$D$2:$D$300,MATCH(A3,Work_Items!$A$2:$A$300,0))</f>
        <v>Plinth filling with imported earth, compacted</v>
      </c>
      <c r="C3" s="6" t="s">
        <v>152</v>
      </c>
      <c r="D3" s="8" t="str">
        <f aca="false">INDEX(Material_Master!$D$2:$D$1000,MATCH(C3,Material_Master!$A$2:$A$1000,0))</f>
        <v>Imported earth for plinth filling</v>
      </c>
      <c r="E3" s="6" t="s">
        <v>2917</v>
      </c>
      <c r="F3" s="6"/>
      <c r="G3" s="6"/>
      <c r="H3" s="9" t="n">
        <f aca="false">Coefficients!$D$67</f>
        <v>1.2</v>
      </c>
      <c r="I3" s="6" t="s">
        <v>2918</v>
      </c>
      <c r="J3" s="6" t="s">
        <v>2919</v>
      </c>
      <c r="K3" s="8" t="str">
        <f aca="false">INDEX(Material_Master!$F$2:$F$1000,MATCH(C3,Material_Master!$A$2:$A$1000,0))</f>
        <v>cft</v>
      </c>
      <c r="L3" s="10" t="n">
        <f aca="false">INDEX(Material_Master!$Q$2:$Q$1000,MATCH(C3,Material_Master!$A$2:$A$1000,0))</f>
        <v>0</v>
      </c>
    </row>
    <row r="4" customFormat="false" ht="22.35" hidden="false" customHeight="false" outlineLevel="0" collapsed="false">
      <c r="A4" s="6" t="s">
        <v>170</v>
      </c>
      <c r="B4" s="8" t="str">
        <f aca="false">INDEX(Work_Items!$D$2:$D$300,MATCH(A4,Work_Items!$A$2:$A$300,0))</f>
        <v>Sand filling under floors</v>
      </c>
      <c r="C4" s="6" t="s">
        <v>164</v>
      </c>
      <c r="D4" s="8" t="str">
        <f aca="false">INDEX(Material_Master!$D$2:$D$1000,MATCH(C4,Material_Master!$A$2:$A$1000,0))</f>
        <v>Sand filling under floors (local 'bhal' / kassi sand)</v>
      </c>
      <c r="E4" s="6" t="s">
        <v>2920</v>
      </c>
      <c r="F4" s="6"/>
      <c r="G4" s="6"/>
      <c r="H4" s="9" t="n">
        <f aca="false">Coefficients!$D$68</f>
        <v>1.15</v>
      </c>
      <c r="I4" s="6" t="s">
        <v>2918</v>
      </c>
      <c r="J4" s="6"/>
      <c r="K4" s="8" t="str">
        <f aca="false">INDEX(Material_Master!$F$2:$F$1000,MATCH(C4,Material_Master!$A$2:$A$1000,0))</f>
        <v>cft</v>
      </c>
      <c r="L4" s="10" t="n">
        <f aca="false">INDEX(Material_Master!$Q$2:$Q$1000,MATCH(C4,Material_Master!$A$2:$A$1000,0))</f>
        <v>0.1</v>
      </c>
    </row>
    <row r="5" customFormat="false" ht="22.35" hidden="false" customHeight="false" outlineLevel="0" collapsed="false">
      <c r="A5" s="6" t="s">
        <v>183</v>
      </c>
      <c r="B5" s="8" t="str">
        <f aca="false">INDEX(Work_Items!$D$2:$D$300,MATCH(A5,Work_Items!$A$2:$A$300,0))</f>
        <v>Anti-termite treatment (foundation trenches, plinth, floor)</v>
      </c>
      <c r="C5" s="6" t="s">
        <v>172</v>
      </c>
      <c r="D5" s="8" t="str">
        <f aca="false">INDEX(Material_Master!$D$2:$D$1000,MATCH(C5,Material_Master!$A$2:$A$1000,0))</f>
        <v>Anti-termite chemical</v>
      </c>
      <c r="E5" s="6" t="s">
        <v>2921</v>
      </c>
      <c r="F5" s="6"/>
      <c r="G5" s="6"/>
      <c r="H5" s="9" t="n">
        <f aca="false">Coefficients!$D$69</f>
        <v>0.025</v>
      </c>
      <c r="I5" s="6" t="s">
        <v>2922</v>
      </c>
      <c r="J5" s="6" t="s">
        <v>2923</v>
      </c>
      <c r="K5" s="8" t="str">
        <f aca="false">INDEX(Material_Master!$F$2:$F$1000,MATCH(C5,Material_Master!$A$2:$A$1000,0))</f>
        <v>L</v>
      </c>
      <c r="L5" s="10" t="n">
        <f aca="false">INDEX(Material_Master!$Q$2:$Q$1000,MATCH(C5,Material_Master!$A$2:$A$1000,0))</f>
        <v>0.05</v>
      </c>
    </row>
    <row r="6" customFormat="false" ht="15" hidden="false" customHeight="false" outlineLevel="0" collapsed="false">
      <c r="A6" s="6" t="s">
        <v>209</v>
      </c>
      <c r="B6" s="8" t="str">
        <f aca="false">INDEX(Work_Items!$D$2:$D$300,MATCH(A6,Work_Items!$A$2:$A$300,0))</f>
        <v>Polythene vapour barrier under GF floor PCC</v>
      </c>
      <c r="C6" s="6" t="s">
        <v>203</v>
      </c>
      <c r="D6" s="8" t="str">
        <f aca="false">INDEX(Material_Master!$D$2:$D$1000,MATCH(C6,Material_Master!$A$2:$A$1000,0))</f>
        <v>Polythene vapour barrier under GF floor</v>
      </c>
      <c r="E6" s="6" t="s">
        <v>2924</v>
      </c>
      <c r="F6" s="6"/>
      <c r="G6" s="6"/>
      <c r="H6" s="9" t="n">
        <f aca="false">Coefficients!$D$54</f>
        <v>1.15</v>
      </c>
      <c r="I6" s="6" t="s">
        <v>2925</v>
      </c>
      <c r="J6" s="6" t="s">
        <v>2926</v>
      </c>
      <c r="K6" s="8" t="str">
        <f aca="false">INDEX(Material_Master!$F$2:$F$1000,MATCH(C6,Material_Master!$A$2:$A$1000,0))</f>
        <v>sft</v>
      </c>
      <c r="L6" s="10" t="n">
        <f aca="false">INDEX(Material_Master!$Q$2:$Q$1000,MATCH(C6,Material_Master!$A$2:$A$1000,0))</f>
        <v>0.05</v>
      </c>
    </row>
    <row r="7" customFormat="false" ht="22.35" hidden="false" customHeight="false" outlineLevel="0" collapsed="false">
      <c r="A7" s="6" t="s">
        <v>150</v>
      </c>
      <c r="B7" s="8" t="str">
        <f aca="false">INDEX(Work_Items!$D$2:$D$300,MATCH(A7,Work_Items!$A$2:$A$300,0))</f>
        <v>Disposal of surplus earth</v>
      </c>
      <c r="C7" s="6" t="s">
        <v>138</v>
      </c>
      <c r="D7" s="8" t="str">
        <f aca="false">INDEX(Material_Master!$D$2:$D$1000,MATCH(C7,Material_Master!$A$2:$A$1000,0))</f>
        <v>Surplus excavated earth - disposal (tractor trolley loads)</v>
      </c>
      <c r="E7" s="6" t="s">
        <v>2914</v>
      </c>
      <c r="F7" s="6"/>
      <c r="G7" s="6"/>
      <c r="H7" s="9" t="n">
        <f aca="false">Coefficients!$D$2</f>
        <v>1</v>
      </c>
      <c r="I7" s="6" t="s">
        <v>2918</v>
      </c>
      <c r="J7" s="6"/>
      <c r="K7" s="8" t="str">
        <f aca="false">INDEX(Material_Master!$F$2:$F$1000,MATCH(C7,Material_Master!$A$2:$A$1000,0))</f>
        <v>cft</v>
      </c>
      <c r="L7" s="10" t="n">
        <f aca="false">INDEX(Material_Master!$Q$2:$Q$1000,MATCH(C7,Material_Master!$A$2:$A$1000,0))</f>
        <v>0</v>
      </c>
    </row>
    <row r="8" customFormat="false" ht="15" hidden="false" customHeight="false" outlineLevel="0" collapsed="false">
      <c r="A8" s="6" t="s">
        <v>2509</v>
      </c>
      <c r="B8" s="8" t="str">
        <f aca="false">INDEX(Work_Items!$D$2:$D$300,MATCH(A8,Work_Items!$A$2:$A$300,0))</f>
        <v>PCC 1:4:8 in foundation base</v>
      </c>
      <c r="C8" s="6" t="s">
        <v>211</v>
      </c>
      <c r="D8" s="8" t="str">
        <f aca="false">INDEX(Material_Master!$D$2:$D$1000,MATCH(C8,Material_Master!$A$2:$A$1000,0))</f>
        <v>Ordinary Portland Cement (OPC) - 50 kg bag</v>
      </c>
      <c r="E8" s="6" t="s">
        <v>2914</v>
      </c>
      <c r="F8" s="6" t="s">
        <v>2927</v>
      </c>
      <c r="G8" s="6" t="s">
        <v>2928</v>
      </c>
      <c r="H8" s="9" t="n">
        <f aca="false">Coefficients!$D$2*Mix_Design!$J$2</f>
        <v>0.0966082766579444</v>
      </c>
      <c r="I8" s="6" t="s">
        <v>2929</v>
      </c>
      <c r="J8" s="6" t="s">
        <v>17</v>
      </c>
      <c r="K8" s="8" t="str">
        <f aca="false">INDEX(Material_Master!$F$2:$F$1000,MATCH(C8,Material_Master!$A$2:$A$1000,0))</f>
        <v>bag</v>
      </c>
      <c r="L8" s="10" t="n">
        <f aca="false">INDEX(Material_Master!$Q$2:$Q$1000,MATCH(C8,Material_Master!$A$2:$A$1000,0))</f>
        <v>0.02</v>
      </c>
    </row>
    <row r="9" customFormat="false" ht="15" hidden="false" customHeight="false" outlineLevel="0" collapsed="false">
      <c r="A9" s="6" t="s">
        <v>2509</v>
      </c>
      <c r="B9" s="8" t="str">
        <f aca="false">INDEX(Work_Items!$D$2:$D$300,MATCH(A9,Work_Items!$A$2:$A$300,0))</f>
        <v>PCC 1:4:8 in foundation base</v>
      </c>
      <c r="C9" s="6" t="s">
        <v>246</v>
      </c>
      <c r="D9" s="8" t="str">
        <f aca="false">INDEX(Material_Master!$D$2:$D$1000,MATCH(C9,Material_Master!$A$2:$A$1000,0))</f>
        <v>Coarse sand for concrete (Lawrencepur)</v>
      </c>
      <c r="E9" s="6" t="s">
        <v>2914</v>
      </c>
      <c r="F9" s="6" t="s">
        <v>2927</v>
      </c>
      <c r="G9" s="6" t="s">
        <v>2930</v>
      </c>
      <c r="H9" s="9" t="n">
        <f aca="false">Coefficients!$D$2*Mix_Design!$K$2</f>
        <v>0.473846153846154</v>
      </c>
      <c r="I9" s="6" t="s">
        <v>2918</v>
      </c>
      <c r="J9" s="6" t="s">
        <v>17</v>
      </c>
      <c r="K9" s="8" t="str">
        <f aca="false">INDEX(Material_Master!$F$2:$F$1000,MATCH(C9,Material_Master!$A$2:$A$1000,0))</f>
        <v>cft</v>
      </c>
      <c r="L9" s="10" t="n">
        <f aca="false">INDEX(Material_Master!$Q$2:$Q$1000,MATCH(C9,Material_Master!$A$2:$A$1000,0))</f>
        <v>0.1</v>
      </c>
    </row>
    <row r="10" customFormat="false" ht="15" hidden="false" customHeight="false" outlineLevel="0" collapsed="false">
      <c r="A10" s="6" t="s">
        <v>2509</v>
      </c>
      <c r="B10" s="8" t="str">
        <f aca="false">INDEX(Work_Items!$D$2:$D$300,MATCH(A10,Work_Items!$A$2:$A$300,0))</f>
        <v>PCC 1:4:8 in foundation base</v>
      </c>
      <c r="C10" s="6" t="s">
        <v>287</v>
      </c>
      <c r="D10" s="8" t="str">
        <f aca="false">INDEX(Material_Master!$D$2:$D$1000,MATCH(C10,Material_Master!$A$2:$A$1000,0))</f>
        <v>Crushed stone 1.5in down (or brick ballast)</v>
      </c>
      <c r="E10" s="6" t="s">
        <v>2914</v>
      </c>
      <c r="F10" s="6" t="s">
        <v>2927</v>
      </c>
      <c r="G10" s="6" t="s">
        <v>2931</v>
      </c>
      <c r="H10" s="9" t="n">
        <f aca="false">Coefficients!$D$2*Mix_Design!$L$2</f>
        <v>0.947692307692308</v>
      </c>
      <c r="I10" s="6" t="s">
        <v>2918</v>
      </c>
      <c r="J10" s="6" t="s">
        <v>17</v>
      </c>
      <c r="K10" s="8" t="str">
        <f aca="false">INDEX(Material_Master!$F$2:$F$1000,MATCH(C10,Material_Master!$A$2:$A$1000,0))</f>
        <v>cft</v>
      </c>
      <c r="L10" s="10" t="n">
        <f aca="false">INDEX(Material_Master!$Q$2:$Q$1000,MATCH(C10,Material_Master!$A$2:$A$1000,0))</f>
        <v>0.075</v>
      </c>
    </row>
    <row r="11" customFormat="false" ht="15" hidden="false" customHeight="false" outlineLevel="0" collapsed="false">
      <c r="A11" s="6" t="s">
        <v>2517</v>
      </c>
      <c r="B11" s="8" t="str">
        <f aca="false">INDEX(Work_Items!$D$2:$D$300,MATCH(A11,Work_Items!$A$2:$A$300,0))</f>
        <v>PCC 1:4:8 floor base (GF, porch)</v>
      </c>
      <c r="C11" s="6" t="s">
        <v>211</v>
      </c>
      <c r="D11" s="8" t="str">
        <f aca="false">INDEX(Material_Master!$D$2:$D$1000,MATCH(C11,Material_Master!$A$2:$A$1000,0))</f>
        <v>Ordinary Portland Cement (OPC) - 50 kg bag</v>
      </c>
      <c r="E11" s="6" t="s">
        <v>2914</v>
      </c>
      <c r="F11" s="6" t="s">
        <v>2927</v>
      </c>
      <c r="G11" s="6" t="s">
        <v>2928</v>
      </c>
      <c r="H11" s="9" t="n">
        <f aca="false">Coefficients!$D$2*Mix_Design!$J$2</f>
        <v>0.0966082766579444</v>
      </c>
      <c r="I11" s="6" t="s">
        <v>2929</v>
      </c>
      <c r="J11" s="6" t="s">
        <v>17</v>
      </c>
      <c r="K11" s="8" t="str">
        <f aca="false">INDEX(Material_Master!$F$2:$F$1000,MATCH(C11,Material_Master!$A$2:$A$1000,0))</f>
        <v>bag</v>
      </c>
      <c r="L11" s="10" t="n">
        <f aca="false">INDEX(Material_Master!$Q$2:$Q$1000,MATCH(C11,Material_Master!$A$2:$A$1000,0))</f>
        <v>0.02</v>
      </c>
    </row>
    <row r="12" customFormat="false" ht="15" hidden="false" customHeight="false" outlineLevel="0" collapsed="false">
      <c r="A12" s="6" t="s">
        <v>2517</v>
      </c>
      <c r="B12" s="8" t="str">
        <f aca="false">INDEX(Work_Items!$D$2:$D$300,MATCH(A12,Work_Items!$A$2:$A$300,0))</f>
        <v>PCC 1:4:8 floor base (GF, porch)</v>
      </c>
      <c r="C12" s="6" t="s">
        <v>246</v>
      </c>
      <c r="D12" s="8" t="str">
        <f aca="false">INDEX(Material_Master!$D$2:$D$1000,MATCH(C12,Material_Master!$A$2:$A$1000,0))</f>
        <v>Coarse sand for concrete (Lawrencepur)</v>
      </c>
      <c r="E12" s="6" t="s">
        <v>2914</v>
      </c>
      <c r="F12" s="6" t="s">
        <v>2927</v>
      </c>
      <c r="G12" s="6" t="s">
        <v>2930</v>
      </c>
      <c r="H12" s="9" t="n">
        <f aca="false">Coefficients!$D$2*Mix_Design!$K$2</f>
        <v>0.473846153846154</v>
      </c>
      <c r="I12" s="6" t="s">
        <v>2918</v>
      </c>
      <c r="J12" s="6" t="s">
        <v>17</v>
      </c>
      <c r="K12" s="8" t="str">
        <f aca="false">INDEX(Material_Master!$F$2:$F$1000,MATCH(C12,Material_Master!$A$2:$A$1000,0))</f>
        <v>cft</v>
      </c>
      <c r="L12" s="10" t="n">
        <f aca="false">INDEX(Material_Master!$Q$2:$Q$1000,MATCH(C12,Material_Master!$A$2:$A$1000,0))</f>
        <v>0.1</v>
      </c>
    </row>
    <row r="13" customFormat="false" ht="15" hidden="false" customHeight="false" outlineLevel="0" collapsed="false">
      <c r="A13" s="6" t="s">
        <v>2517</v>
      </c>
      <c r="B13" s="8" t="str">
        <f aca="false">INDEX(Work_Items!$D$2:$D$300,MATCH(A13,Work_Items!$A$2:$A$300,0))</f>
        <v>PCC 1:4:8 floor base (GF, porch)</v>
      </c>
      <c r="C13" s="6" t="s">
        <v>287</v>
      </c>
      <c r="D13" s="8" t="str">
        <f aca="false">INDEX(Material_Master!$D$2:$D$1000,MATCH(C13,Material_Master!$A$2:$A$1000,0))</f>
        <v>Crushed stone 1.5in down (or brick ballast)</v>
      </c>
      <c r="E13" s="6" t="s">
        <v>2914</v>
      </c>
      <c r="F13" s="6" t="s">
        <v>2927</v>
      </c>
      <c r="G13" s="6" t="s">
        <v>2931</v>
      </c>
      <c r="H13" s="9" t="n">
        <f aca="false">Coefficients!$D$2*Mix_Design!$L$2</f>
        <v>0.947692307692308</v>
      </c>
      <c r="I13" s="6" t="s">
        <v>2918</v>
      </c>
      <c r="J13" s="6" t="s">
        <v>17</v>
      </c>
      <c r="K13" s="8" t="str">
        <f aca="false">INDEX(Material_Master!$F$2:$F$1000,MATCH(C13,Material_Master!$A$2:$A$1000,0))</f>
        <v>cft</v>
      </c>
      <c r="L13" s="10" t="n">
        <f aca="false">INDEX(Material_Master!$Q$2:$Q$1000,MATCH(C13,Material_Master!$A$2:$A$1000,0))</f>
        <v>0.075</v>
      </c>
    </row>
    <row r="14" customFormat="false" ht="15" hidden="false" customHeight="false" outlineLevel="0" collapsed="false">
      <c r="A14" s="6" t="s">
        <v>2524</v>
      </c>
      <c r="B14" s="8" t="str">
        <f aca="false">INDEX(Work_Items!$D$2:$D$300,MATCH(A14,Work_Items!$A$2:$A$300,0))</f>
        <v>RCC 1:2:4 in isolated footings</v>
      </c>
      <c r="C14" s="6" t="s">
        <v>211</v>
      </c>
      <c r="D14" s="8" t="str">
        <f aca="false">INDEX(Material_Master!$D$2:$D$1000,MATCH(C14,Material_Master!$A$2:$A$1000,0))</f>
        <v>Ordinary Portland Cement (OPC) - 50 kg bag</v>
      </c>
      <c r="E14" s="6" t="s">
        <v>2914</v>
      </c>
      <c r="F14" s="6" t="s">
        <v>2932</v>
      </c>
      <c r="G14" s="6" t="s">
        <v>2928</v>
      </c>
      <c r="H14" s="9" t="n">
        <f aca="false">Coefficients!$D$2*Mix_Design!$J$4</f>
        <v>0.179415370936182</v>
      </c>
      <c r="I14" s="6" t="s">
        <v>2929</v>
      </c>
      <c r="J14" s="6" t="s">
        <v>17</v>
      </c>
      <c r="K14" s="8" t="str">
        <f aca="false">INDEX(Material_Master!$F$2:$F$1000,MATCH(C14,Material_Master!$A$2:$A$1000,0))</f>
        <v>bag</v>
      </c>
      <c r="L14" s="10" t="n">
        <f aca="false">INDEX(Material_Master!$Q$2:$Q$1000,MATCH(C14,Material_Master!$A$2:$A$1000,0))</f>
        <v>0.02</v>
      </c>
    </row>
    <row r="15" customFormat="false" ht="15" hidden="false" customHeight="false" outlineLevel="0" collapsed="false">
      <c r="A15" s="6" t="s">
        <v>2524</v>
      </c>
      <c r="B15" s="8" t="str">
        <f aca="false">INDEX(Work_Items!$D$2:$D$300,MATCH(A15,Work_Items!$A$2:$A$300,0))</f>
        <v>RCC 1:2:4 in isolated footings</v>
      </c>
      <c r="C15" s="6" t="s">
        <v>246</v>
      </c>
      <c r="D15" s="8" t="str">
        <f aca="false">INDEX(Material_Master!$D$2:$D$1000,MATCH(C15,Material_Master!$A$2:$A$1000,0))</f>
        <v>Coarse sand for concrete (Lawrencepur)</v>
      </c>
      <c r="E15" s="6" t="s">
        <v>2914</v>
      </c>
      <c r="F15" s="6" t="s">
        <v>2932</v>
      </c>
      <c r="G15" s="6" t="s">
        <v>2930</v>
      </c>
      <c r="H15" s="9" t="n">
        <f aca="false">Coefficients!$D$2*Mix_Design!$K$4</f>
        <v>0.44</v>
      </c>
      <c r="I15" s="6" t="s">
        <v>2918</v>
      </c>
      <c r="J15" s="6" t="s">
        <v>17</v>
      </c>
      <c r="K15" s="8" t="str">
        <f aca="false">INDEX(Material_Master!$F$2:$F$1000,MATCH(C15,Material_Master!$A$2:$A$1000,0))</f>
        <v>cft</v>
      </c>
      <c r="L15" s="10" t="n">
        <f aca="false">INDEX(Material_Master!$Q$2:$Q$1000,MATCH(C15,Material_Master!$A$2:$A$1000,0))</f>
        <v>0.1</v>
      </c>
    </row>
    <row r="16" customFormat="false" ht="15" hidden="false" customHeight="false" outlineLevel="0" collapsed="false">
      <c r="A16" s="6" t="s">
        <v>2524</v>
      </c>
      <c r="B16" s="8" t="str">
        <f aca="false">INDEX(Work_Items!$D$2:$D$300,MATCH(A16,Work_Items!$A$2:$A$300,0))</f>
        <v>RCC 1:2:4 in isolated footings</v>
      </c>
      <c r="C16" s="6" t="s">
        <v>268</v>
      </c>
      <c r="D16" s="8" t="str">
        <f aca="false">INDEX(Material_Master!$D$2:$D$1000,MATCH(C16,Material_Master!$A$2:$A$1000,0))</f>
        <v>Crushed stone 3/4in down (Margalla crush)</v>
      </c>
      <c r="E16" s="6" t="s">
        <v>2914</v>
      </c>
      <c r="F16" s="6" t="s">
        <v>2932</v>
      </c>
      <c r="G16" s="6" t="s">
        <v>2931</v>
      </c>
      <c r="H16" s="9" t="n">
        <f aca="false">Coefficients!$D$2*Mix_Design!$L$4</f>
        <v>0.88</v>
      </c>
      <c r="I16" s="6" t="s">
        <v>2918</v>
      </c>
      <c r="J16" s="6" t="s">
        <v>17</v>
      </c>
      <c r="K16" s="8" t="str">
        <f aca="false">INDEX(Material_Master!$F$2:$F$1000,MATCH(C16,Material_Master!$A$2:$A$1000,0))</f>
        <v>cft</v>
      </c>
      <c r="L16" s="10" t="n">
        <f aca="false">INDEX(Material_Master!$Q$2:$Q$1000,MATCH(C16,Material_Master!$A$2:$A$1000,0))</f>
        <v>0.075</v>
      </c>
    </row>
    <row r="17" customFormat="false" ht="15" hidden="false" customHeight="false" outlineLevel="0" collapsed="false">
      <c r="A17" s="6" t="s">
        <v>2524</v>
      </c>
      <c r="B17" s="8" t="str">
        <f aca="false">INDEX(Work_Items!$D$2:$D$300,MATCH(A17,Work_Items!$A$2:$A$300,0))</f>
        <v>RCC 1:2:4 in isolated footings</v>
      </c>
      <c r="C17" s="6" t="s">
        <v>333</v>
      </c>
      <c r="D17" s="8" t="str">
        <f aca="false">INDEX(Material_Master!$D$2:$D$1000,MATCH(C17,Material_Master!$A$2:$A$1000,0))</f>
        <v>Cover blocks / rebar spacers</v>
      </c>
      <c r="E17" s="6" t="s">
        <v>2933</v>
      </c>
      <c r="F17" s="6"/>
      <c r="G17" s="6"/>
      <c r="H17" s="9" t="n">
        <f aca="false">Coefficients!$D$99</f>
        <v>1</v>
      </c>
      <c r="I17" s="6" t="s">
        <v>2934</v>
      </c>
      <c r="J17" s="6" t="s">
        <v>2935</v>
      </c>
      <c r="K17" s="8" t="str">
        <f aca="false">INDEX(Material_Master!$F$2:$F$1000,MATCH(C17,Material_Master!$A$2:$A$1000,0))</f>
        <v>Nos</v>
      </c>
      <c r="L17" s="10" t="n">
        <f aca="false">INDEX(Material_Master!$Q$2:$Q$1000,MATCH(C17,Material_Master!$A$2:$A$1000,0))</f>
        <v>0.05</v>
      </c>
    </row>
    <row r="18" customFormat="false" ht="15" hidden="false" customHeight="false" outlineLevel="0" collapsed="false">
      <c r="A18" s="6" t="s">
        <v>2530</v>
      </c>
      <c r="B18" s="8" t="str">
        <f aca="false">INDEX(Work_Items!$D$2:$D$300,MATCH(A18,Work_Items!$A$2:$A$300,0))</f>
        <v>RCC in plinth / grade beams</v>
      </c>
      <c r="C18" s="6" t="s">
        <v>211</v>
      </c>
      <c r="D18" s="8" t="str">
        <f aca="false">INDEX(Material_Master!$D$2:$D$1000,MATCH(C18,Material_Master!$A$2:$A$1000,0))</f>
        <v>Ordinary Portland Cement (OPC) - 50 kg bag</v>
      </c>
      <c r="E18" s="6" t="s">
        <v>2914</v>
      </c>
      <c r="F18" s="6" t="s">
        <v>2932</v>
      </c>
      <c r="G18" s="6" t="s">
        <v>2928</v>
      </c>
      <c r="H18" s="9" t="n">
        <f aca="false">Coefficients!$D$2*Mix_Design!$J$4</f>
        <v>0.179415370936182</v>
      </c>
      <c r="I18" s="6" t="s">
        <v>2929</v>
      </c>
      <c r="J18" s="6" t="s">
        <v>17</v>
      </c>
      <c r="K18" s="8" t="str">
        <f aca="false">INDEX(Material_Master!$F$2:$F$1000,MATCH(C18,Material_Master!$A$2:$A$1000,0))</f>
        <v>bag</v>
      </c>
      <c r="L18" s="10" t="n">
        <f aca="false">INDEX(Material_Master!$Q$2:$Q$1000,MATCH(C18,Material_Master!$A$2:$A$1000,0))</f>
        <v>0.02</v>
      </c>
    </row>
    <row r="19" customFormat="false" ht="15" hidden="false" customHeight="false" outlineLevel="0" collapsed="false">
      <c r="A19" s="6" t="s">
        <v>2530</v>
      </c>
      <c r="B19" s="8" t="str">
        <f aca="false">INDEX(Work_Items!$D$2:$D$300,MATCH(A19,Work_Items!$A$2:$A$300,0))</f>
        <v>RCC in plinth / grade beams</v>
      </c>
      <c r="C19" s="6" t="s">
        <v>246</v>
      </c>
      <c r="D19" s="8" t="str">
        <f aca="false">INDEX(Material_Master!$D$2:$D$1000,MATCH(C19,Material_Master!$A$2:$A$1000,0))</f>
        <v>Coarse sand for concrete (Lawrencepur)</v>
      </c>
      <c r="E19" s="6" t="s">
        <v>2914</v>
      </c>
      <c r="F19" s="6" t="s">
        <v>2932</v>
      </c>
      <c r="G19" s="6" t="s">
        <v>2930</v>
      </c>
      <c r="H19" s="9" t="n">
        <f aca="false">Coefficients!$D$2*Mix_Design!$K$4</f>
        <v>0.44</v>
      </c>
      <c r="I19" s="6" t="s">
        <v>2918</v>
      </c>
      <c r="J19" s="6" t="s">
        <v>17</v>
      </c>
      <c r="K19" s="8" t="str">
        <f aca="false">INDEX(Material_Master!$F$2:$F$1000,MATCH(C19,Material_Master!$A$2:$A$1000,0))</f>
        <v>cft</v>
      </c>
      <c r="L19" s="10" t="n">
        <f aca="false">INDEX(Material_Master!$Q$2:$Q$1000,MATCH(C19,Material_Master!$A$2:$A$1000,0))</f>
        <v>0.1</v>
      </c>
    </row>
    <row r="20" customFormat="false" ht="15" hidden="false" customHeight="false" outlineLevel="0" collapsed="false">
      <c r="A20" s="6" t="s">
        <v>2530</v>
      </c>
      <c r="B20" s="8" t="str">
        <f aca="false">INDEX(Work_Items!$D$2:$D$300,MATCH(A20,Work_Items!$A$2:$A$300,0))</f>
        <v>RCC in plinth / grade beams</v>
      </c>
      <c r="C20" s="6" t="s">
        <v>268</v>
      </c>
      <c r="D20" s="8" t="str">
        <f aca="false">INDEX(Material_Master!$D$2:$D$1000,MATCH(C20,Material_Master!$A$2:$A$1000,0))</f>
        <v>Crushed stone 3/4in down (Margalla crush)</v>
      </c>
      <c r="E20" s="6" t="s">
        <v>2914</v>
      </c>
      <c r="F20" s="6" t="s">
        <v>2932</v>
      </c>
      <c r="G20" s="6" t="s">
        <v>2931</v>
      </c>
      <c r="H20" s="9" t="n">
        <f aca="false">Coefficients!$D$2*Mix_Design!$L$4</f>
        <v>0.88</v>
      </c>
      <c r="I20" s="6" t="s">
        <v>2918</v>
      </c>
      <c r="J20" s="6" t="s">
        <v>17</v>
      </c>
      <c r="K20" s="8" t="str">
        <f aca="false">INDEX(Material_Master!$F$2:$F$1000,MATCH(C20,Material_Master!$A$2:$A$1000,0))</f>
        <v>cft</v>
      </c>
      <c r="L20" s="10" t="n">
        <f aca="false">INDEX(Material_Master!$Q$2:$Q$1000,MATCH(C20,Material_Master!$A$2:$A$1000,0))</f>
        <v>0.075</v>
      </c>
    </row>
    <row r="21" customFormat="false" ht="15" hidden="false" customHeight="false" outlineLevel="0" collapsed="false">
      <c r="A21" s="6" t="s">
        <v>2530</v>
      </c>
      <c r="B21" s="8" t="str">
        <f aca="false">INDEX(Work_Items!$D$2:$D$300,MATCH(A21,Work_Items!$A$2:$A$300,0))</f>
        <v>RCC in plinth / grade beams</v>
      </c>
      <c r="C21" s="6" t="s">
        <v>333</v>
      </c>
      <c r="D21" s="8" t="str">
        <f aca="false">INDEX(Material_Master!$D$2:$D$1000,MATCH(C21,Material_Master!$A$2:$A$1000,0))</f>
        <v>Cover blocks / rebar spacers</v>
      </c>
      <c r="E21" s="6" t="s">
        <v>2933</v>
      </c>
      <c r="F21" s="6"/>
      <c r="G21" s="6"/>
      <c r="H21" s="9" t="n">
        <f aca="false">Coefficients!$D$99</f>
        <v>1</v>
      </c>
      <c r="I21" s="6" t="s">
        <v>2934</v>
      </c>
      <c r="J21" s="6" t="s">
        <v>2935</v>
      </c>
      <c r="K21" s="8" t="str">
        <f aca="false">INDEX(Material_Master!$F$2:$F$1000,MATCH(C21,Material_Master!$A$2:$A$1000,0))</f>
        <v>Nos</v>
      </c>
      <c r="L21" s="10" t="n">
        <f aca="false">INDEX(Material_Master!$Q$2:$Q$1000,MATCH(C21,Material_Master!$A$2:$A$1000,0))</f>
        <v>0.05</v>
      </c>
    </row>
    <row r="22" customFormat="false" ht="15" hidden="false" customHeight="false" outlineLevel="0" collapsed="false">
      <c r="A22" s="6" t="s">
        <v>2536</v>
      </c>
      <c r="B22" s="8" t="str">
        <f aca="false">INDEX(Work_Items!$D$2:$D$300,MATCH(A22,Work_Items!$A$2:$A$300,0))</f>
        <v>RCC in columns</v>
      </c>
      <c r="C22" s="6" t="s">
        <v>211</v>
      </c>
      <c r="D22" s="8" t="str">
        <f aca="false">INDEX(Material_Master!$D$2:$D$1000,MATCH(C22,Material_Master!$A$2:$A$1000,0))</f>
        <v>Ordinary Portland Cement (OPC) - 50 kg bag</v>
      </c>
      <c r="E22" s="6" t="s">
        <v>2914</v>
      </c>
      <c r="F22" s="6" t="s">
        <v>2932</v>
      </c>
      <c r="G22" s="6" t="s">
        <v>2928</v>
      </c>
      <c r="H22" s="9" t="n">
        <f aca="false">Coefficients!$D$2*Mix_Design!$J$4</f>
        <v>0.179415370936182</v>
      </c>
      <c r="I22" s="6" t="s">
        <v>2929</v>
      </c>
      <c r="J22" s="6" t="s">
        <v>17</v>
      </c>
      <c r="K22" s="8" t="str">
        <f aca="false">INDEX(Material_Master!$F$2:$F$1000,MATCH(C22,Material_Master!$A$2:$A$1000,0))</f>
        <v>bag</v>
      </c>
      <c r="L22" s="10" t="n">
        <f aca="false">INDEX(Material_Master!$Q$2:$Q$1000,MATCH(C22,Material_Master!$A$2:$A$1000,0))</f>
        <v>0.02</v>
      </c>
    </row>
    <row r="23" customFormat="false" ht="15" hidden="false" customHeight="false" outlineLevel="0" collapsed="false">
      <c r="A23" s="6" t="s">
        <v>2536</v>
      </c>
      <c r="B23" s="8" t="str">
        <f aca="false">INDEX(Work_Items!$D$2:$D$300,MATCH(A23,Work_Items!$A$2:$A$300,0))</f>
        <v>RCC in columns</v>
      </c>
      <c r="C23" s="6" t="s">
        <v>246</v>
      </c>
      <c r="D23" s="8" t="str">
        <f aca="false">INDEX(Material_Master!$D$2:$D$1000,MATCH(C23,Material_Master!$A$2:$A$1000,0))</f>
        <v>Coarse sand for concrete (Lawrencepur)</v>
      </c>
      <c r="E23" s="6" t="s">
        <v>2914</v>
      </c>
      <c r="F23" s="6" t="s">
        <v>2932</v>
      </c>
      <c r="G23" s="6" t="s">
        <v>2930</v>
      </c>
      <c r="H23" s="9" t="n">
        <f aca="false">Coefficients!$D$2*Mix_Design!$K$4</f>
        <v>0.44</v>
      </c>
      <c r="I23" s="6" t="s">
        <v>2918</v>
      </c>
      <c r="J23" s="6" t="s">
        <v>17</v>
      </c>
      <c r="K23" s="8" t="str">
        <f aca="false">INDEX(Material_Master!$F$2:$F$1000,MATCH(C23,Material_Master!$A$2:$A$1000,0))</f>
        <v>cft</v>
      </c>
      <c r="L23" s="10" t="n">
        <f aca="false">INDEX(Material_Master!$Q$2:$Q$1000,MATCH(C23,Material_Master!$A$2:$A$1000,0))</f>
        <v>0.1</v>
      </c>
    </row>
    <row r="24" customFormat="false" ht="15" hidden="false" customHeight="false" outlineLevel="0" collapsed="false">
      <c r="A24" s="6" t="s">
        <v>2536</v>
      </c>
      <c r="B24" s="8" t="str">
        <f aca="false">INDEX(Work_Items!$D$2:$D$300,MATCH(A24,Work_Items!$A$2:$A$300,0))</f>
        <v>RCC in columns</v>
      </c>
      <c r="C24" s="6" t="s">
        <v>268</v>
      </c>
      <c r="D24" s="8" t="str">
        <f aca="false">INDEX(Material_Master!$D$2:$D$1000,MATCH(C24,Material_Master!$A$2:$A$1000,0))</f>
        <v>Crushed stone 3/4in down (Margalla crush)</v>
      </c>
      <c r="E24" s="6" t="s">
        <v>2914</v>
      </c>
      <c r="F24" s="6" t="s">
        <v>2932</v>
      </c>
      <c r="G24" s="6" t="s">
        <v>2931</v>
      </c>
      <c r="H24" s="9" t="n">
        <f aca="false">Coefficients!$D$2*Mix_Design!$L$4</f>
        <v>0.88</v>
      </c>
      <c r="I24" s="6" t="s">
        <v>2918</v>
      </c>
      <c r="J24" s="6" t="s">
        <v>17</v>
      </c>
      <c r="K24" s="8" t="str">
        <f aca="false">INDEX(Material_Master!$F$2:$F$1000,MATCH(C24,Material_Master!$A$2:$A$1000,0))</f>
        <v>cft</v>
      </c>
      <c r="L24" s="10" t="n">
        <f aca="false">INDEX(Material_Master!$Q$2:$Q$1000,MATCH(C24,Material_Master!$A$2:$A$1000,0))</f>
        <v>0.075</v>
      </c>
    </row>
    <row r="25" customFormat="false" ht="15" hidden="false" customHeight="false" outlineLevel="0" collapsed="false">
      <c r="A25" s="6" t="s">
        <v>2536</v>
      </c>
      <c r="B25" s="8" t="str">
        <f aca="false">INDEX(Work_Items!$D$2:$D$300,MATCH(A25,Work_Items!$A$2:$A$300,0))</f>
        <v>RCC in columns</v>
      </c>
      <c r="C25" s="6" t="s">
        <v>333</v>
      </c>
      <c r="D25" s="8" t="str">
        <f aca="false">INDEX(Material_Master!$D$2:$D$1000,MATCH(C25,Material_Master!$A$2:$A$1000,0))</f>
        <v>Cover blocks / rebar spacers</v>
      </c>
      <c r="E25" s="6" t="s">
        <v>2933</v>
      </c>
      <c r="F25" s="6"/>
      <c r="G25" s="6"/>
      <c r="H25" s="9" t="n">
        <f aca="false">Coefficients!$D$99</f>
        <v>1</v>
      </c>
      <c r="I25" s="6" t="s">
        <v>2934</v>
      </c>
      <c r="J25" s="6" t="s">
        <v>2935</v>
      </c>
      <c r="K25" s="8" t="str">
        <f aca="false">INDEX(Material_Master!$F$2:$F$1000,MATCH(C25,Material_Master!$A$2:$A$1000,0))</f>
        <v>Nos</v>
      </c>
      <c r="L25" s="10" t="n">
        <f aca="false">INDEX(Material_Master!$Q$2:$Q$1000,MATCH(C25,Material_Master!$A$2:$A$1000,0))</f>
        <v>0.05</v>
      </c>
    </row>
    <row r="26" customFormat="false" ht="15" hidden="false" customHeight="false" outlineLevel="0" collapsed="false">
      <c r="A26" s="6" t="s">
        <v>2543</v>
      </c>
      <c r="B26" s="8" t="str">
        <f aca="false">INDEX(Work_Items!$D$2:$D$300,MATCH(A26,Work_Items!$A$2:$A$300,0))</f>
        <v>RCC in beams (below slab soffit)</v>
      </c>
      <c r="C26" s="6" t="s">
        <v>211</v>
      </c>
      <c r="D26" s="8" t="str">
        <f aca="false">INDEX(Material_Master!$D$2:$D$1000,MATCH(C26,Material_Master!$A$2:$A$1000,0))</f>
        <v>Ordinary Portland Cement (OPC) - 50 kg bag</v>
      </c>
      <c r="E26" s="6" t="s">
        <v>2914</v>
      </c>
      <c r="F26" s="6" t="s">
        <v>2932</v>
      </c>
      <c r="G26" s="6" t="s">
        <v>2928</v>
      </c>
      <c r="H26" s="9" t="n">
        <f aca="false">Coefficients!$D$2*Mix_Design!$J$4</f>
        <v>0.179415370936182</v>
      </c>
      <c r="I26" s="6" t="s">
        <v>2929</v>
      </c>
      <c r="J26" s="6" t="s">
        <v>17</v>
      </c>
      <c r="K26" s="8" t="str">
        <f aca="false">INDEX(Material_Master!$F$2:$F$1000,MATCH(C26,Material_Master!$A$2:$A$1000,0))</f>
        <v>bag</v>
      </c>
      <c r="L26" s="10" t="n">
        <f aca="false">INDEX(Material_Master!$Q$2:$Q$1000,MATCH(C26,Material_Master!$A$2:$A$1000,0))</f>
        <v>0.02</v>
      </c>
    </row>
    <row r="27" customFormat="false" ht="15" hidden="false" customHeight="false" outlineLevel="0" collapsed="false">
      <c r="A27" s="6" t="s">
        <v>2543</v>
      </c>
      <c r="B27" s="8" t="str">
        <f aca="false">INDEX(Work_Items!$D$2:$D$300,MATCH(A27,Work_Items!$A$2:$A$300,0))</f>
        <v>RCC in beams (below slab soffit)</v>
      </c>
      <c r="C27" s="6" t="s">
        <v>246</v>
      </c>
      <c r="D27" s="8" t="str">
        <f aca="false">INDEX(Material_Master!$D$2:$D$1000,MATCH(C27,Material_Master!$A$2:$A$1000,0))</f>
        <v>Coarse sand for concrete (Lawrencepur)</v>
      </c>
      <c r="E27" s="6" t="s">
        <v>2914</v>
      </c>
      <c r="F27" s="6" t="s">
        <v>2932</v>
      </c>
      <c r="G27" s="6" t="s">
        <v>2930</v>
      </c>
      <c r="H27" s="9" t="n">
        <f aca="false">Coefficients!$D$2*Mix_Design!$K$4</f>
        <v>0.44</v>
      </c>
      <c r="I27" s="6" t="s">
        <v>2918</v>
      </c>
      <c r="J27" s="6" t="s">
        <v>17</v>
      </c>
      <c r="K27" s="8" t="str">
        <f aca="false">INDEX(Material_Master!$F$2:$F$1000,MATCH(C27,Material_Master!$A$2:$A$1000,0))</f>
        <v>cft</v>
      </c>
      <c r="L27" s="10" t="n">
        <f aca="false">INDEX(Material_Master!$Q$2:$Q$1000,MATCH(C27,Material_Master!$A$2:$A$1000,0))</f>
        <v>0.1</v>
      </c>
    </row>
    <row r="28" customFormat="false" ht="15" hidden="false" customHeight="false" outlineLevel="0" collapsed="false">
      <c r="A28" s="6" t="s">
        <v>2543</v>
      </c>
      <c r="B28" s="8" t="str">
        <f aca="false">INDEX(Work_Items!$D$2:$D$300,MATCH(A28,Work_Items!$A$2:$A$300,0))</f>
        <v>RCC in beams (below slab soffit)</v>
      </c>
      <c r="C28" s="6" t="s">
        <v>268</v>
      </c>
      <c r="D28" s="8" t="str">
        <f aca="false">INDEX(Material_Master!$D$2:$D$1000,MATCH(C28,Material_Master!$A$2:$A$1000,0))</f>
        <v>Crushed stone 3/4in down (Margalla crush)</v>
      </c>
      <c r="E28" s="6" t="s">
        <v>2914</v>
      </c>
      <c r="F28" s="6" t="s">
        <v>2932</v>
      </c>
      <c r="G28" s="6" t="s">
        <v>2931</v>
      </c>
      <c r="H28" s="9" t="n">
        <f aca="false">Coefficients!$D$2*Mix_Design!$L$4</f>
        <v>0.88</v>
      </c>
      <c r="I28" s="6" t="s">
        <v>2918</v>
      </c>
      <c r="J28" s="6" t="s">
        <v>17</v>
      </c>
      <c r="K28" s="8" t="str">
        <f aca="false">INDEX(Material_Master!$F$2:$F$1000,MATCH(C28,Material_Master!$A$2:$A$1000,0))</f>
        <v>cft</v>
      </c>
      <c r="L28" s="10" t="n">
        <f aca="false">INDEX(Material_Master!$Q$2:$Q$1000,MATCH(C28,Material_Master!$A$2:$A$1000,0))</f>
        <v>0.075</v>
      </c>
    </row>
    <row r="29" customFormat="false" ht="15" hidden="false" customHeight="false" outlineLevel="0" collapsed="false">
      <c r="A29" s="6" t="s">
        <v>2543</v>
      </c>
      <c r="B29" s="8" t="str">
        <f aca="false">INDEX(Work_Items!$D$2:$D$300,MATCH(A29,Work_Items!$A$2:$A$300,0))</f>
        <v>RCC in beams (below slab soffit)</v>
      </c>
      <c r="C29" s="6" t="s">
        <v>333</v>
      </c>
      <c r="D29" s="8" t="str">
        <f aca="false">INDEX(Material_Master!$D$2:$D$1000,MATCH(C29,Material_Master!$A$2:$A$1000,0))</f>
        <v>Cover blocks / rebar spacers</v>
      </c>
      <c r="E29" s="6" t="s">
        <v>2933</v>
      </c>
      <c r="F29" s="6"/>
      <c r="G29" s="6"/>
      <c r="H29" s="9" t="n">
        <f aca="false">Coefficients!$D$99</f>
        <v>1</v>
      </c>
      <c r="I29" s="6" t="s">
        <v>2934</v>
      </c>
      <c r="J29" s="6" t="s">
        <v>2935</v>
      </c>
      <c r="K29" s="8" t="str">
        <f aca="false">INDEX(Material_Master!$F$2:$F$1000,MATCH(C29,Material_Master!$A$2:$A$1000,0))</f>
        <v>Nos</v>
      </c>
      <c r="L29" s="10" t="n">
        <f aca="false">INDEX(Material_Master!$Q$2:$Q$1000,MATCH(C29,Material_Master!$A$2:$A$1000,0))</f>
        <v>0.05</v>
      </c>
    </row>
    <row r="30" customFormat="false" ht="15" hidden="false" customHeight="false" outlineLevel="0" collapsed="false">
      <c r="A30" s="6" t="s">
        <v>2549</v>
      </c>
      <c r="B30" s="8" t="str">
        <f aca="false">INDEX(Work_Items!$D$2:$D$300,MATCH(A30,Work_Items!$A$2:$A$300,0))</f>
        <v>RCC in floor &amp; roof slabs</v>
      </c>
      <c r="C30" s="6" t="s">
        <v>211</v>
      </c>
      <c r="D30" s="8" t="str">
        <f aca="false">INDEX(Material_Master!$D$2:$D$1000,MATCH(C30,Material_Master!$A$2:$A$1000,0))</f>
        <v>Ordinary Portland Cement (OPC) - 50 kg bag</v>
      </c>
      <c r="E30" s="6" t="s">
        <v>2914</v>
      </c>
      <c r="F30" s="6" t="s">
        <v>2932</v>
      </c>
      <c r="G30" s="6" t="s">
        <v>2928</v>
      </c>
      <c r="H30" s="9" t="n">
        <f aca="false">Coefficients!$D$2*Mix_Design!$J$4</f>
        <v>0.179415370936182</v>
      </c>
      <c r="I30" s="6" t="s">
        <v>2929</v>
      </c>
      <c r="J30" s="6" t="s">
        <v>17</v>
      </c>
      <c r="K30" s="8" t="str">
        <f aca="false">INDEX(Material_Master!$F$2:$F$1000,MATCH(C30,Material_Master!$A$2:$A$1000,0))</f>
        <v>bag</v>
      </c>
      <c r="L30" s="10" t="n">
        <f aca="false">INDEX(Material_Master!$Q$2:$Q$1000,MATCH(C30,Material_Master!$A$2:$A$1000,0))</f>
        <v>0.02</v>
      </c>
    </row>
    <row r="31" customFormat="false" ht="15" hidden="false" customHeight="false" outlineLevel="0" collapsed="false">
      <c r="A31" s="6" t="s">
        <v>2549</v>
      </c>
      <c r="B31" s="8" t="str">
        <f aca="false">INDEX(Work_Items!$D$2:$D$300,MATCH(A31,Work_Items!$A$2:$A$300,0))</f>
        <v>RCC in floor &amp; roof slabs</v>
      </c>
      <c r="C31" s="6" t="s">
        <v>246</v>
      </c>
      <c r="D31" s="8" t="str">
        <f aca="false">INDEX(Material_Master!$D$2:$D$1000,MATCH(C31,Material_Master!$A$2:$A$1000,0))</f>
        <v>Coarse sand for concrete (Lawrencepur)</v>
      </c>
      <c r="E31" s="6" t="s">
        <v>2914</v>
      </c>
      <c r="F31" s="6" t="s">
        <v>2932</v>
      </c>
      <c r="G31" s="6" t="s">
        <v>2930</v>
      </c>
      <c r="H31" s="9" t="n">
        <f aca="false">Coefficients!$D$2*Mix_Design!$K$4</f>
        <v>0.44</v>
      </c>
      <c r="I31" s="6" t="s">
        <v>2918</v>
      </c>
      <c r="J31" s="6" t="s">
        <v>17</v>
      </c>
      <c r="K31" s="8" t="str">
        <f aca="false">INDEX(Material_Master!$F$2:$F$1000,MATCH(C31,Material_Master!$A$2:$A$1000,0))</f>
        <v>cft</v>
      </c>
      <c r="L31" s="10" t="n">
        <f aca="false">INDEX(Material_Master!$Q$2:$Q$1000,MATCH(C31,Material_Master!$A$2:$A$1000,0))</f>
        <v>0.1</v>
      </c>
    </row>
    <row r="32" customFormat="false" ht="15" hidden="false" customHeight="false" outlineLevel="0" collapsed="false">
      <c r="A32" s="6" t="s">
        <v>2549</v>
      </c>
      <c r="B32" s="8" t="str">
        <f aca="false">INDEX(Work_Items!$D$2:$D$300,MATCH(A32,Work_Items!$A$2:$A$300,0))</f>
        <v>RCC in floor &amp; roof slabs</v>
      </c>
      <c r="C32" s="6" t="s">
        <v>268</v>
      </c>
      <c r="D32" s="8" t="str">
        <f aca="false">INDEX(Material_Master!$D$2:$D$1000,MATCH(C32,Material_Master!$A$2:$A$1000,0))</f>
        <v>Crushed stone 3/4in down (Margalla crush)</v>
      </c>
      <c r="E32" s="6" t="s">
        <v>2914</v>
      </c>
      <c r="F32" s="6" t="s">
        <v>2932</v>
      </c>
      <c r="G32" s="6" t="s">
        <v>2931</v>
      </c>
      <c r="H32" s="9" t="n">
        <f aca="false">Coefficients!$D$2*Mix_Design!$L$4</f>
        <v>0.88</v>
      </c>
      <c r="I32" s="6" t="s">
        <v>2918</v>
      </c>
      <c r="J32" s="6" t="s">
        <v>17</v>
      </c>
      <c r="K32" s="8" t="str">
        <f aca="false">INDEX(Material_Master!$F$2:$F$1000,MATCH(C32,Material_Master!$A$2:$A$1000,0))</f>
        <v>cft</v>
      </c>
      <c r="L32" s="10" t="n">
        <f aca="false">INDEX(Material_Master!$Q$2:$Q$1000,MATCH(C32,Material_Master!$A$2:$A$1000,0))</f>
        <v>0.075</v>
      </c>
    </row>
    <row r="33" customFormat="false" ht="15" hidden="false" customHeight="false" outlineLevel="0" collapsed="false">
      <c r="A33" s="6" t="s">
        <v>2549</v>
      </c>
      <c r="B33" s="8" t="str">
        <f aca="false">INDEX(Work_Items!$D$2:$D$300,MATCH(A33,Work_Items!$A$2:$A$300,0))</f>
        <v>RCC in floor &amp; roof slabs</v>
      </c>
      <c r="C33" s="6" t="s">
        <v>333</v>
      </c>
      <c r="D33" s="8" t="str">
        <f aca="false">INDEX(Material_Master!$D$2:$D$1000,MATCH(C33,Material_Master!$A$2:$A$1000,0))</f>
        <v>Cover blocks / rebar spacers</v>
      </c>
      <c r="E33" s="6" t="s">
        <v>2933</v>
      </c>
      <c r="F33" s="6"/>
      <c r="G33" s="6"/>
      <c r="H33" s="9" t="n">
        <f aca="false">Coefficients!$D$99</f>
        <v>1</v>
      </c>
      <c r="I33" s="6" t="s">
        <v>2934</v>
      </c>
      <c r="J33" s="6" t="s">
        <v>2935</v>
      </c>
      <c r="K33" s="8" t="str">
        <f aca="false">INDEX(Material_Master!$F$2:$F$1000,MATCH(C33,Material_Master!$A$2:$A$1000,0))</f>
        <v>Nos</v>
      </c>
      <c r="L33" s="10" t="n">
        <f aca="false">INDEX(Material_Master!$Q$2:$Q$1000,MATCH(C33,Material_Master!$A$2:$A$1000,0))</f>
        <v>0.05</v>
      </c>
    </row>
    <row r="34" customFormat="false" ht="15" hidden="false" customHeight="false" outlineLevel="0" collapsed="false">
      <c r="A34" s="6" t="s">
        <v>2556</v>
      </c>
      <c r="B34" s="8" t="str">
        <f aca="false">INDEX(Work_Items!$D$2:$D$300,MATCH(A34,Work_Items!$A$2:$A$300,0))</f>
        <v>RCC in staircase (waist, steps, landings)</v>
      </c>
      <c r="C34" s="6" t="s">
        <v>211</v>
      </c>
      <c r="D34" s="8" t="str">
        <f aca="false">INDEX(Material_Master!$D$2:$D$1000,MATCH(C34,Material_Master!$A$2:$A$1000,0))</f>
        <v>Ordinary Portland Cement (OPC) - 50 kg bag</v>
      </c>
      <c r="E34" s="6" t="s">
        <v>2914</v>
      </c>
      <c r="F34" s="6" t="s">
        <v>2932</v>
      </c>
      <c r="G34" s="6" t="s">
        <v>2928</v>
      </c>
      <c r="H34" s="9" t="n">
        <f aca="false">Coefficients!$D$2*Mix_Design!$J$4</f>
        <v>0.179415370936182</v>
      </c>
      <c r="I34" s="6" t="s">
        <v>2929</v>
      </c>
      <c r="J34" s="6" t="s">
        <v>17</v>
      </c>
      <c r="K34" s="8" t="str">
        <f aca="false">INDEX(Material_Master!$F$2:$F$1000,MATCH(C34,Material_Master!$A$2:$A$1000,0))</f>
        <v>bag</v>
      </c>
      <c r="L34" s="10" t="n">
        <f aca="false">INDEX(Material_Master!$Q$2:$Q$1000,MATCH(C34,Material_Master!$A$2:$A$1000,0))</f>
        <v>0.02</v>
      </c>
    </row>
    <row r="35" customFormat="false" ht="15" hidden="false" customHeight="false" outlineLevel="0" collapsed="false">
      <c r="A35" s="6" t="s">
        <v>2556</v>
      </c>
      <c r="B35" s="8" t="str">
        <f aca="false">INDEX(Work_Items!$D$2:$D$300,MATCH(A35,Work_Items!$A$2:$A$300,0))</f>
        <v>RCC in staircase (waist, steps, landings)</v>
      </c>
      <c r="C35" s="6" t="s">
        <v>246</v>
      </c>
      <c r="D35" s="8" t="str">
        <f aca="false">INDEX(Material_Master!$D$2:$D$1000,MATCH(C35,Material_Master!$A$2:$A$1000,0))</f>
        <v>Coarse sand for concrete (Lawrencepur)</v>
      </c>
      <c r="E35" s="6" t="s">
        <v>2914</v>
      </c>
      <c r="F35" s="6" t="s">
        <v>2932</v>
      </c>
      <c r="G35" s="6" t="s">
        <v>2930</v>
      </c>
      <c r="H35" s="9" t="n">
        <f aca="false">Coefficients!$D$2*Mix_Design!$K$4</f>
        <v>0.44</v>
      </c>
      <c r="I35" s="6" t="s">
        <v>2918</v>
      </c>
      <c r="J35" s="6" t="s">
        <v>17</v>
      </c>
      <c r="K35" s="8" t="str">
        <f aca="false">INDEX(Material_Master!$F$2:$F$1000,MATCH(C35,Material_Master!$A$2:$A$1000,0))</f>
        <v>cft</v>
      </c>
      <c r="L35" s="10" t="n">
        <f aca="false">INDEX(Material_Master!$Q$2:$Q$1000,MATCH(C35,Material_Master!$A$2:$A$1000,0))</f>
        <v>0.1</v>
      </c>
    </row>
    <row r="36" customFormat="false" ht="15" hidden="false" customHeight="false" outlineLevel="0" collapsed="false">
      <c r="A36" s="6" t="s">
        <v>2556</v>
      </c>
      <c r="B36" s="8" t="str">
        <f aca="false">INDEX(Work_Items!$D$2:$D$300,MATCH(A36,Work_Items!$A$2:$A$300,0))</f>
        <v>RCC in staircase (waist, steps, landings)</v>
      </c>
      <c r="C36" s="6" t="s">
        <v>268</v>
      </c>
      <c r="D36" s="8" t="str">
        <f aca="false">INDEX(Material_Master!$D$2:$D$1000,MATCH(C36,Material_Master!$A$2:$A$1000,0))</f>
        <v>Crushed stone 3/4in down (Margalla crush)</v>
      </c>
      <c r="E36" s="6" t="s">
        <v>2914</v>
      </c>
      <c r="F36" s="6" t="s">
        <v>2932</v>
      </c>
      <c r="G36" s="6" t="s">
        <v>2931</v>
      </c>
      <c r="H36" s="9" t="n">
        <f aca="false">Coefficients!$D$2*Mix_Design!$L$4</f>
        <v>0.88</v>
      </c>
      <c r="I36" s="6" t="s">
        <v>2918</v>
      </c>
      <c r="J36" s="6" t="s">
        <v>17</v>
      </c>
      <c r="K36" s="8" t="str">
        <f aca="false">INDEX(Material_Master!$F$2:$F$1000,MATCH(C36,Material_Master!$A$2:$A$1000,0))</f>
        <v>cft</v>
      </c>
      <c r="L36" s="10" t="n">
        <f aca="false">INDEX(Material_Master!$Q$2:$Q$1000,MATCH(C36,Material_Master!$A$2:$A$1000,0))</f>
        <v>0.075</v>
      </c>
    </row>
    <row r="37" customFormat="false" ht="15" hidden="false" customHeight="false" outlineLevel="0" collapsed="false">
      <c r="A37" s="6" t="s">
        <v>2556</v>
      </c>
      <c r="B37" s="8" t="str">
        <f aca="false">INDEX(Work_Items!$D$2:$D$300,MATCH(A37,Work_Items!$A$2:$A$300,0))</f>
        <v>RCC in staircase (waist, steps, landings)</v>
      </c>
      <c r="C37" s="6" t="s">
        <v>333</v>
      </c>
      <c r="D37" s="8" t="str">
        <f aca="false">INDEX(Material_Master!$D$2:$D$1000,MATCH(C37,Material_Master!$A$2:$A$1000,0))</f>
        <v>Cover blocks / rebar spacers</v>
      </c>
      <c r="E37" s="6" t="s">
        <v>2933</v>
      </c>
      <c r="F37" s="6"/>
      <c r="G37" s="6"/>
      <c r="H37" s="9" t="n">
        <f aca="false">Coefficients!$D$99</f>
        <v>1</v>
      </c>
      <c r="I37" s="6" t="s">
        <v>2934</v>
      </c>
      <c r="J37" s="6" t="s">
        <v>2935</v>
      </c>
      <c r="K37" s="8" t="str">
        <f aca="false">INDEX(Material_Master!$F$2:$F$1000,MATCH(C37,Material_Master!$A$2:$A$1000,0))</f>
        <v>Nos</v>
      </c>
      <c r="L37" s="10" t="n">
        <f aca="false">INDEX(Material_Master!$Q$2:$Q$1000,MATCH(C37,Material_Master!$A$2:$A$1000,0))</f>
        <v>0.05</v>
      </c>
    </row>
    <row r="38" customFormat="false" ht="15" hidden="false" customHeight="false" outlineLevel="0" collapsed="false">
      <c r="A38" s="6" t="s">
        <v>2561</v>
      </c>
      <c r="B38" s="8" t="str">
        <f aca="false">INDEX(Work_Items!$D$2:$D$300,MATCH(A38,Work_Items!$A$2:$A$300,0))</f>
        <v>RCC lintels &amp; seismic bands (lintel/roof/sill)</v>
      </c>
      <c r="C38" s="6" t="s">
        <v>211</v>
      </c>
      <c r="D38" s="8" t="str">
        <f aca="false">INDEX(Material_Master!$D$2:$D$1000,MATCH(C38,Material_Master!$A$2:$A$1000,0))</f>
        <v>Ordinary Portland Cement (OPC) - 50 kg bag</v>
      </c>
      <c r="E38" s="6" t="s">
        <v>2914</v>
      </c>
      <c r="F38" s="6" t="s">
        <v>2932</v>
      </c>
      <c r="G38" s="6" t="s">
        <v>2928</v>
      </c>
      <c r="H38" s="9" t="n">
        <f aca="false">Coefficients!$D$2*Mix_Design!$J$4</f>
        <v>0.179415370936182</v>
      </c>
      <c r="I38" s="6" t="s">
        <v>2929</v>
      </c>
      <c r="J38" s="6" t="s">
        <v>17</v>
      </c>
      <c r="K38" s="8" t="str">
        <f aca="false">INDEX(Material_Master!$F$2:$F$1000,MATCH(C38,Material_Master!$A$2:$A$1000,0))</f>
        <v>bag</v>
      </c>
      <c r="L38" s="10" t="n">
        <f aca="false">INDEX(Material_Master!$Q$2:$Q$1000,MATCH(C38,Material_Master!$A$2:$A$1000,0))</f>
        <v>0.02</v>
      </c>
    </row>
    <row r="39" customFormat="false" ht="15" hidden="false" customHeight="false" outlineLevel="0" collapsed="false">
      <c r="A39" s="6" t="s">
        <v>2561</v>
      </c>
      <c r="B39" s="8" t="str">
        <f aca="false">INDEX(Work_Items!$D$2:$D$300,MATCH(A39,Work_Items!$A$2:$A$300,0))</f>
        <v>RCC lintels &amp; seismic bands (lintel/roof/sill)</v>
      </c>
      <c r="C39" s="6" t="s">
        <v>246</v>
      </c>
      <c r="D39" s="8" t="str">
        <f aca="false">INDEX(Material_Master!$D$2:$D$1000,MATCH(C39,Material_Master!$A$2:$A$1000,0))</f>
        <v>Coarse sand for concrete (Lawrencepur)</v>
      </c>
      <c r="E39" s="6" t="s">
        <v>2914</v>
      </c>
      <c r="F39" s="6" t="s">
        <v>2932</v>
      </c>
      <c r="G39" s="6" t="s">
        <v>2930</v>
      </c>
      <c r="H39" s="9" t="n">
        <f aca="false">Coefficients!$D$2*Mix_Design!$K$4</f>
        <v>0.44</v>
      </c>
      <c r="I39" s="6" t="s">
        <v>2918</v>
      </c>
      <c r="J39" s="6" t="s">
        <v>17</v>
      </c>
      <c r="K39" s="8" t="str">
        <f aca="false">INDEX(Material_Master!$F$2:$F$1000,MATCH(C39,Material_Master!$A$2:$A$1000,0))</f>
        <v>cft</v>
      </c>
      <c r="L39" s="10" t="n">
        <f aca="false">INDEX(Material_Master!$Q$2:$Q$1000,MATCH(C39,Material_Master!$A$2:$A$1000,0))</f>
        <v>0.1</v>
      </c>
    </row>
    <row r="40" customFormat="false" ht="15" hidden="false" customHeight="false" outlineLevel="0" collapsed="false">
      <c r="A40" s="6" t="s">
        <v>2561</v>
      </c>
      <c r="B40" s="8" t="str">
        <f aca="false">INDEX(Work_Items!$D$2:$D$300,MATCH(A40,Work_Items!$A$2:$A$300,0))</f>
        <v>RCC lintels &amp; seismic bands (lintel/roof/sill)</v>
      </c>
      <c r="C40" s="6" t="s">
        <v>277</v>
      </c>
      <c r="D40" s="8" t="str">
        <f aca="false">INDEX(Material_Master!$D$2:$D$1000,MATCH(C40,Material_Master!$A$2:$A$1000,0))</f>
        <v>Crushed stone 1/2in / 3/8in down</v>
      </c>
      <c r="E40" s="6" t="s">
        <v>2914</v>
      </c>
      <c r="F40" s="6" t="s">
        <v>2932</v>
      </c>
      <c r="G40" s="6" t="s">
        <v>2931</v>
      </c>
      <c r="H40" s="9" t="n">
        <f aca="false">Coefficients!$D$2*Mix_Design!$L$4</f>
        <v>0.88</v>
      </c>
      <c r="I40" s="6" t="s">
        <v>2918</v>
      </c>
      <c r="J40" s="6" t="s">
        <v>17</v>
      </c>
      <c r="K40" s="8" t="str">
        <f aca="false">INDEX(Material_Master!$F$2:$F$1000,MATCH(C40,Material_Master!$A$2:$A$1000,0))</f>
        <v>cft</v>
      </c>
      <c r="L40" s="10" t="n">
        <f aca="false">INDEX(Material_Master!$Q$2:$Q$1000,MATCH(C40,Material_Master!$A$2:$A$1000,0))</f>
        <v>0.075</v>
      </c>
    </row>
    <row r="41" customFormat="false" ht="15" hidden="false" customHeight="false" outlineLevel="0" collapsed="false">
      <c r="A41" s="6" t="s">
        <v>2561</v>
      </c>
      <c r="B41" s="8" t="str">
        <f aca="false">INDEX(Work_Items!$D$2:$D$300,MATCH(A41,Work_Items!$A$2:$A$300,0))</f>
        <v>RCC lintels &amp; seismic bands (lintel/roof/sill)</v>
      </c>
      <c r="C41" s="6" t="s">
        <v>333</v>
      </c>
      <c r="D41" s="8" t="str">
        <f aca="false">INDEX(Material_Master!$D$2:$D$1000,MATCH(C41,Material_Master!$A$2:$A$1000,0))</f>
        <v>Cover blocks / rebar spacers</v>
      </c>
      <c r="E41" s="6" t="s">
        <v>2933</v>
      </c>
      <c r="F41" s="6"/>
      <c r="G41" s="6"/>
      <c r="H41" s="9" t="n">
        <f aca="false">Coefficients!$D$99</f>
        <v>1</v>
      </c>
      <c r="I41" s="6" t="s">
        <v>2934</v>
      </c>
      <c r="J41" s="6" t="s">
        <v>2935</v>
      </c>
      <c r="K41" s="8" t="str">
        <f aca="false">INDEX(Material_Master!$F$2:$F$1000,MATCH(C41,Material_Master!$A$2:$A$1000,0))</f>
        <v>Nos</v>
      </c>
      <c r="L41" s="10" t="n">
        <f aca="false">INDEX(Material_Master!$Q$2:$Q$1000,MATCH(C41,Material_Master!$A$2:$A$1000,0))</f>
        <v>0.05</v>
      </c>
    </row>
    <row r="42" customFormat="false" ht="22.35" hidden="false" customHeight="false" outlineLevel="0" collapsed="false">
      <c r="A42" s="6" t="s">
        <v>2568</v>
      </c>
      <c r="B42" s="8" t="str">
        <f aca="false">INDEX(Work_Items!$D$2:$D$300,MATCH(A42,Work_Items!$A$2:$A$300,0))</f>
        <v>RCC chajjas, projections, balcony slabs, canopies</v>
      </c>
      <c r="C42" s="6" t="s">
        <v>211</v>
      </c>
      <c r="D42" s="8" t="str">
        <f aca="false">INDEX(Material_Master!$D$2:$D$1000,MATCH(C42,Material_Master!$A$2:$A$1000,0))</f>
        <v>Ordinary Portland Cement (OPC) - 50 kg bag</v>
      </c>
      <c r="E42" s="6" t="s">
        <v>2914</v>
      </c>
      <c r="F42" s="6" t="s">
        <v>2932</v>
      </c>
      <c r="G42" s="6" t="s">
        <v>2928</v>
      </c>
      <c r="H42" s="9" t="n">
        <f aca="false">Coefficients!$D$2*Mix_Design!$J$4</f>
        <v>0.179415370936182</v>
      </c>
      <c r="I42" s="6" t="s">
        <v>2929</v>
      </c>
      <c r="J42" s="6" t="s">
        <v>17</v>
      </c>
      <c r="K42" s="8" t="str">
        <f aca="false">INDEX(Material_Master!$F$2:$F$1000,MATCH(C42,Material_Master!$A$2:$A$1000,0))</f>
        <v>bag</v>
      </c>
      <c r="L42" s="10" t="n">
        <f aca="false">INDEX(Material_Master!$Q$2:$Q$1000,MATCH(C42,Material_Master!$A$2:$A$1000,0))</f>
        <v>0.02</v>
      </c>
    </row>
    <row r="43" customFormat="false" ht="22.35" hidden="false" customHeight="false" outlineLevel="0" collapsed="false">
      <c r="A43" s="6" t="s">
        <v>2568</v>
      </c>
      <c r="B43" s="8" t="str">
        <f aca="false">INDEX(Work_Items!$D$2:$D$300,MATCH(A43,Work_Items!$A$2:$A$300,0))</f>
        <v>RCC chajjas, projections, balcony slabs, canopies</v>
      </c>
      <c r="C43" s="6" t="s">
        <v>246</v>
      </c>
      <c r="D43" s="8" t="str">
        <f aca="false">INDEX(Material_Master!$D$2:$D$1000,MATCH(C43,Material_Master!$A$2:$A$1000,0))</f>
        <v>Coarse sand for concrete (Lawrencepur)</v>
      </c>
      <c r="E43" s="6" t="s">
        <v>2914</v>
      </c>
      <c r="F43" s="6" t="s">
        <v>2932</v>
      </c>
      <c r="G43" s="6" t="s">
        <v>2930</v>
      </c>
      <c r="H43" s="9" t="n">
        <f aca="false">Coefficients!$D$2*Mix_Design!$K$4</f>
        <v>0.44</v>
      </c>
      <c r="I43" s="6" t="s">
        <v>2918</v>
      </c>
      <c r="J43" s="6" t="s">
        <v>17</v>
      </c>
      <c r="K43" s="8" t="str">
        <f aca="false">INDEX(Material_Master!$F$2:$F$1000,MATCH(C43,Material_Master!$A$2:$A$1000,0))</f>
        <v>cft</v>
      </c>
      <c r="L43" s="10" t="n">
        <f aca="false">INDEX(Material_Master!$Q$2:$Q$1000,MATCH(C43,Material_Master!$A$2:$A$1000,0))</f>
        <v>0.1</v>
      </c>
    </row>
    <row r="44" customFormat="false" ht="22.35" hidden="false" customHeight="false" outlineLevel="0" collapsed="false">
      <c r="A44" s="6" t="s">
        <v>2568</v>
      </c>
      <c r="B44" s="8" t="str">
        <f aca="false">INDEX(Work_Items!$D$2:$D$300,MATCH(A44,Work_Items!$A$2:$A$300,0))</f>
        <v>RCC chajjas, projections, balcony slabs, canopies</v>
      </c>
      <c r="C44" s="6" t="s">
        <v>277</v>
      </c>
      <c r="D44" s="8" t="str">
        <f aca="false">INDEX(Material_Master!$D$2:$D$1000,MATCH(C44,Material_Master!$A$2:$A$1000,0))</f>
        <v>Crushed stone 1/2in / 3/8in down</v>
      </c>
      <c r="E44" s="6" t="s">
        <v>2914</v>
      </c>
      <c r="F44" s="6" t="s">
        <v>2932</v>
      </c>
      <c r="G44" s="6" t="s">
        <v>2931</v>
      </c>
      <c r="H44" s="9" t="n">
        <f aca="false">Coefficients!$D$2*Mix_Design!$L$4</f>
        <v>0.88</v>
      </c>
      <c r="I44" s="6" t="s">
        <v>2918</v>
      </c>
      <c r="J44" s="6" t="s">
        <v>17</v>
      </c>
      <c r="K44" s="8" t="str">
        <f aca="false">INDEX(Material_Master!$F$2:$F$1000,MATCH(C44,Material_Master!$A$2:$A$1000,0))</f>
        <v>cft</v>
      </c>
      <c r="L44" s="10" t="n">
        <f aca="false">INDEX(Material_Master!$Q$2:$Q$1000,MATCH(C44,Material_Master!$A$2:$A$1000,0))</f>
        <v>0.075</v>
      </c>
    </row>
    <row r="45" customFormat="false" ht="22.35" hidden="false" customHeight="false" outlineLevel="0" collapsed="false">
      <c r="A45" s="6" t="s">
        <v>2573</v>
      </c>
      <c r="B45" s="8" t="str">
        <f aca="false">INDEX(Work_Items!$D$2:$D$300,MATCH(A45,Work_Items!$A$2:$A$300,0))</f>
        <v>RCC in UG water tank / septic tank (base, walls, cover)</v>
      </c>
      <c r="C45" s="6" t="s">
        <v>211</v>
      </c>
      <c r="D45" s="8" t="str">
        <f aca="false">INDEX(Material_Master!$D$2:$D$1000,MATCH(C45,Material_Master!$A$2:$A$1000,0))</f>
        <v>Ordinary Portland Cement (OPC) - 50 kg bag</v>
      </c>
      <c r="E45" s="6" t="s">
        <v>2914</v>
      </c>
      <c r="F45" s="6" t="s">
        <v>2932</v>
      </c>
      <c r="G45" s="6" t="s">
        <v>2928</v>
      </c>
      <c r="H45" s="9" t="n">
        <f aca="false">Coefficients!$D$2*Mix_Design!$J$4</f>
        <v>0.179415370936182</v>
      </c>
      <c r="I45" s="6" t="s">
        <v>2929</v>
      </c>
      <c r="J45" s="6" t="s">
        <v>17</v>
      </c>
      <c r="K45" s="8" t="str">
        <f aca="false">INDEX(Material_Master!$F$2:$F$1000,MATCH(C45,Material_Master!$A$2:$A$1000,0))</f>
        <v>bag</v>
      </c>
      <c r="L45" s="10" t="n">
        <f aca="false">INDEX(Material_Master!$Q$2:$Q$1000,MATCH(C45,Material_Master!$A$2:$A$1000,0))</f>
        <v>0.02</v>
      </c>
    </row>
    <row r="46" customFormat="false" ht="22.35" hidden="false" customHeight="false" outlineLevel="0" collapsed="false">
      <c r="A46" s="6" t="s">
        <v>2573</v>
      </c>
      <c r="B46" s="8" t="str">
        <f aca="false">INDEX(Work_Items!$D$2:$D$300,MATCH(A46,Work_Items!$A$2:$A$300,0))</f>
        <v>RCC in UG water tank / septic tank (base, walls, cover)</v>
      </c>
      <c r="C46" s="6" t="s">
        <v>246</v>
      </c>
      <c r="D46" s="8" t="str">
        <f aca="false">INDEX(Material_Master!$D$2:$D$1000,MATCH(C46,Material_Master!$A$2:$A$1000,0))</f>
        <v>Coarse sand for concrete (Lawrencepur)</v>
      </c>
      <c r="E46" s="6" t="s">
        <v>2914</v>
      </c>
      <c r="F46" s="6" t="s">
        <v>2932</v>
      </c>
      <c r="G46" s="6" t="s">
        <v>2930</v>
      </c>
      <c r="H46" s="9" t="n">
        <f aca="false">Coefficients!$D$2*Mix_Design!$K$4</f>
        <v>0.44</v>
      </c>
      <c r="I46" s="6" t="s">
        <v>2918</v>
      </c>
      <c r="J46" s="6" t="s">
        <v>17</v>
      </c>
      <c r="K46" s="8" t="str">
        <f aca="false">INDEX(Material_Master!$F$2:$F$1000,MATCH(C46,Material_Master!$A$2:$A$1000,0))</f>
        <v>cft</v>
      </c>
      <c r="L46" s="10" t="n">
        <f aca="false">INDEX(Material_Master!$Q$2:$Q$1000,MATCH(C46,Material_Master!$A$2:$A$1000,0))</f>
        <v>0.1</v>
      </c>
    </row>
    <row r="47" customFormat="false" ht="22.35" hidden="false" customHeight="false" outlineLevel="0" collapsed="false">
      <c r="A47" s="6" t="s">
        <v>2573</v>
      </c>
      <c r="B47" s="8" t="str">
        <f aca="false">INDEX(Work_Items!$D$2:$D$300,MATCH(A47,Work_Items!$A$2:$A$300,0))</f>
        <v>RCC in UG water tank / septic tank (base, walls, cover)</v>
      </c>
      <c r="C47" s="6" t="s">
        <v>268</v>
      </c>
      <c r="D47" s="8" t="str">
        <f aca="false">INDEX(Material_Master!$D$2:$D$1000,MATCH(C47,Material_Master!$A$2:$A$1000,0))</f>
        <v>Crushed stone 3/4in down (Margalla crush)</v>
      </c>
      <c r="E47" s="6" t="s">
        <v>2914</v>
      </c>
      <c r="F47" s="6" t="s">
        <v>2932</v>
      </c>
      <c r="G47" s="6" t="s">
        <v>2931</v>
      </c>
      <c r="H47" s="9" t="n">
        <f aca="false">Coefficients!$D$2*Mix_Design!$L$4</f>
        <v>0.88</v>
      </c>
      <c r="I47" s="6" t="s">
        <v>2918</v>
      </c>
      <c r="J47" s="6" t="s">
        <v>17</v>
      </c>
      <c r="K47" s="8" t="str">
        <f aca="false">INDEX(Material_Master!$F$2:$F$1000,MATCH(C47,Material_Master!$A$2:$A$1000,0))</f>
        <v>cft</v>
      </c>
      <c r="L47" s="10" t="n">
        <f aca="false">INDEX(Material_Master!$Q$2:$Q$1000,MATCH(C47,Material_Master!$A$2:$A$1000,0))</f>
        <v>0.075</v>
      </c>
    </row>
    <row r="48" customFormat="false" ht="22.35" hidden="false" customHeight="false" outlineLevel="0" collapsed="false">
      <c r="A48" s="6" t="s">
        <v>2573</v>
      </c>
      <c r="B48" s="8" t="str">
        <f aca="false">INDEX(Work_Items!$D$2:$D$300,MATCH(A48,Work_Items!$A$2:$A$300,0))</f>
        <v>RCC in UG water tank / septic tank (base, walls, cover)</v>
      </c>
      <c r="C48" s="6" t="s">
        <v>657</v>
      </c>
      <c r="D48" s="8" t="str">
        <f aca="false">INDEX(Material_Master!$D$2:$D$1000,MATCH(C48,Material_Master!$A$2:$A$1000,0))</f>
        <v>Integral waterproofing compound (powder/liquid)</v>
      </c>
      <c r="E48" s="6" t="s">
        <v>2936</v>
      </c>
      <c r="F48" s="6"/>
      <c r="G48" s="6"/>
      <c r="H48" s="9" t="n">
        <f aca="false">Coefficients!$D$233</f>
        <v>0.179415370936182</v>
      </c>
      <c r="I48" s="6" t="s">
        <v>2937</v>
      </c>
      <c r="J48" s="6" t="s">
        <v>2938</v>
      </c>
      <c r="K48" s="8" t="str">
        <f aca="false">INDEX(Material_Master!$F$2:$F$1000,MATCH(C48,Material_Master!$A$2:$A$1000,0))</f>
        <v>kg</v>
      </c>
      <c r="L48" s="10" t="n">
        <f aca="false">INDEX(Material_Master!$Q$2:$Q$1000,MATCH(C48,Material_Master!$A$2:$A$1000,0))</f>
        <v>0.05</v>
      </c>
    </row>
    <row r="49" customFormat="false" ht="22.35" hidden="false" customHeight="false" outlineLevel="0" collapsed="false">
      <c r="A49" s="6" t="s">
        <v>2578</v>
      </c>
      <c r="B49" s="8" t="str">
        <f aca="false">INDEX(Work_Items!$D$2:$D$300,MATCH(A49,Work_Items!$A$2:$A$300,0))</f>
        <v>DPC 1.5in PCC 1:2:4 with WP admixture, bitumen &amp; polythene</v>
      </c>
      <c r="C49" s="6" t="s">
        <v>211</v>
      </c>
      <c r="D49" s="8" t="str">
        <f aca="false">INDEX(Material_Master!$D$2:$D$1000,MATCH(C49,Material_Master!$A$2:$A$1000,0))</f>
        <v>Ordinary Portland Cement (OPC) - 50 kg bag</v>
      </c>
      <c r="E49" s="6" t="s">
        <v>2939</v>
      </c>
      <c r="F49" s="6" t="s">
        <v>2940</v>
      </c>
      <c r="G49" s="6" t="s">
        <v>2928</v>
      </c>
      <c r="H49" s="9" t="n">
        <f aca="false">Coefficients!$D$43*Mix_Design!$J$6</f>
        <v>0.0224269213670228</v>
      </c>
      <c r="I49" s="6" t="s">
        <v>2941</v>
      </c>
      <c r="J49" s="6"/>
      <c r="K49" s="8" t="str">
        <f aca="false">INDEX(Material_Master!$F$2:$F$1000,MATCH(C49,Material_Master!$A$2:$A$1000,0))</f>
        <v>bag</v>
      </c>
      <c r="L49" s="10" t="n">
        <f aca="false">INDEX(Material_Master!$Q$2:$Q$1000,MATCH(C49,Material_Master!$A$2:$A$1000,0))</f>
        <v>0.02</v>
      </c>
    </row>
    <row r="50" customFormat="false" ht="22.35" hidden="false" customHeight="false" outlineLevel="0" collapsed="false">
      <c r="A50" s="6" t="s">
        <v>2578</v>
      </c>
      <c r="B50" s="8" t="str">
        <f aca="false">INDEX(Work_Items!$D$2:$D$300,MATCH(A50,Work_Items!$A$2:$A$300,0))</f>
        <v>DPC 1.5in PCC 1:2:4 with WP admixture, bitumen &amp; polythene</v>
      </c>
      <c r="C50" s="6" t="s">
        <v>246</v>
      </c>
      <c r="D50" s="8" t="str">
        <f aca="false">INDEX(Material_Master!$D$2:$D$1000,MATCH(C50,Material_Master!$A$2:$A$1000,0))</f>
        <v>Coarse sand for concrete (Lawrencepur)</v>
      </c>
      <c r="E50" s="6" t="s">
        <v>2939</v>
      </c>
      <c r="F50" s="6" t="s">
        <v>2940</v>
      </c>
      <c r="G50" s="6" t="s">
        <v>2930</v>
      </c>
      <c r="H50" s="9" t="n">
        <f aca="false">Coefficients!$D$43*Mix_Design!$K$6</f>
        <v>0.055</v>
      </c>
      <c r="I50" s="6" t="s">
        <v>2942</v>
      </c>
      <c r="J50" s="6"/>
      <c r="K50" s="8" t="str">
        <f aca="false">INDEX(Material_Master!$F$2:$F$1000,MATCH(C50,Material_Master!$A$2:$A$1000,0))</f>
        <v>cft</v>
      </c>
      <c r="L50" s="10" t="n">
        <f aca="false">INDEX(Material_Master!$Q$2:$Q$1000,MATCH(C50,Material_Master!$A$2:$A$1000,0))</f>
        <v>0.1</v>
      </c>
    </row>
    <row r="51" customFormat="false" ht="22.35" hidden="false" customHeight="false" outlineLevel="0" collapsed="false">
      <c r="A51" s="6" t="s">
        <v>2578</v>
      </c>
      <c r="B51" s="8" t="str">
        <f aca="false">INDEX(Work_Items!$D$2:$D$300,MATCH(A51,Work_Items!$A$2:$A$300,0))</f>
        <v>DPC 1.5in PCC 1:2:4 with WP admixture, bitumen &amp; polythene</v>
      </c>
      <c r="C51" s="6" t="s">
        <v>277</v>
      </c>
      <c r="D51" s="8" t="str">
        <f aca="false">INDEX(Material_Master!$D$2:$D$1000,MATCH(C51,Material_Master!$A$2:$A$1000,0))</f>
        <v>Crushed stone 1/2in / 3/8in down</v>
      </c>
      <c r="E51" s="6" t="s">
        <v>2939</v>
      </c>
      <c r="F51" s="6" t="s">
        <v>2940</v>
      </c>
      <c r="G51" s="6" t="s">
        <v>2931</v>
      </c>
      <c r="H51" s="9" t="n">
        <f aca="false">Coefficients!$D$43*Mix_Design!$L$6</f>
        <v>0.11</v>
      </c>
      <c r="I51" s="6" t="s">
        <v>2942</v>
      </c>
      <c r="J51" s="6"/>
      <c r="K51" s="8" t="str">
        <f aca="false">INDEX(Material_Master!$F$2:$F$1000,MATCH(C51,Material_Master!$A$2:$A$1000,0))</f>
        <v>cft</v>
      </c>
      <c r="L51" s="10" t="n">
        <f aca="false">INDEX(Material_Master!$Q$2:$Q$1000,MATCH(C51,Material_Master!$A$2:$A$1000,0))</f>
        <v>0.075</v>
      </c>
    </row>
    <row r="52" customFormat="false" ht="22.35" hidden="false" customHeight="false" outlineLevel="0" collapsed="false">
      <c r="A52" s="6" t="s">
        <v>2578</v>
      </c>
      <c r="B52" s="8" t="str">
        <f aca="false">INDEX(Work_Items!$D$2:$D$300,MATCH(A52,Work_Items!$A$2:$A$300,0))</f>
        <v>DPC 1.5in PCC 1:2:4 with WP admixture, bitumen &amp; polythene</v>
      </c>
      <c r="C52" s="6" t="s">
        <v>602</v>
      </c>
      <c r="D52" s="8" t="str">
        <f aca="false">INDEX(Material_Master!$D$2:$D$1000,MATCH(C52,Material_Master!$A$2:$A$1000,0))</f>
        <v>Bitumen (hot applied)</v>
      </c>
      <c r="E52" s="6" t="s">
        <v>2943</v>
      </c>
      <c r="F52" s="6"/>
      <c r="G52" s="6"/>
      <c r="H52" s="9" t="n">
        <f aca="false">Coefficients!$D$46</f>
        <v>0.28</v>
      </c>
      <c r="I52" s="6" t="s">
        <v>2944</v>
      </c>
      <c r="J52" s="6" t="s">
        <v>2945</v>
      </c>
      <c r="K52" s="8" t="str">
        <f aca="false">INDEX(Material_Master!$F$2:$F$1000,MATCH(C52,Material_Master!$A$2:$A$1000,0))</f>
        <v>kg</v>
      </c>
      <c r="L52" s="10" t="n">
        <f aca="false">INDEX(Material_Master!$Q$2:$Q$1000,MATCH(C52,Material_Master!$A$2:$A$1000,0))</f>
        <v>0.05</v>
      </c>
    </row>
    <row r="53" customFormat="false" ht="22.35" hidden="false" customHeight="false" outlineLevel="0" collapsed="false">
      <c r="A53" s="6" t="s">
        <v>2578</v>
      </c>
      <c r="B53" s="8" t="str">
        <f aca="false">INDEX(Work_Items!$D$2:$D$300,MATCH(A53,Work_Items!$A$2:$A$300,0))</f>
        <v>DPC 1.5in PCC 1:2:4 with WP admixture, bitumen &amp; polythene</v>
      </c>
      <c r="C53" s="6" t="s">
        <v>624</v>
      </c>
      <c r="D53" s="8" t="str">
        <f aca="false">INDEX(Material_Master!$D$2:$D$1000,MATCH(C53,Material_Master!$A$2:$A$1000,0))</f>
        <v>Polythene sheet (high-density)</v>
      </c>
      <c r="E53" s="6" t="s">
        <v>2946</v>
      </c>
      <c r="F53" s="6"/>
      <c r="G53" s="6"/>
      <c r="H53" s="9" t="n">
        <f aca="false">Coefficients!$D$49</f>
        <v>2.3</v>
      </c>
      <c r="I53" s="6" t="s">
        <v>2925</v>
      </c>
      <c r="J53" s="6" t="s">
        <v>2947</v>
      </c>
      <c r="K53" s="8" t="str">
        <f aca="false">INDEX(Material_Master!$F$2:$F$1000,MATCH(C53,Material_Master!$A$2:$A$1000,0))</f>
        <v>sft</v>
      </c>
      <c r="L53" s="10" t="n">
        <f aca="false">INDEX(Material_Master!$Q$2:$Q$1000,MATCH(C53,Material_Master!$A$2:$A$1000,0))</f>
        <v>0.05</v>
      </c>
    </row>
    <row r="54" customFormat="false" ht="22.35" hidden="false" customHeight="false" outlineLevel="0" collapsed="false">
      <c r="A54" s="6" t="s">
        <v>2578</v>
      </c>
      <c r="B54" s="8" t="str">
        <f aca="false">INDEX(Work_Items!$D$2:$D$300,MATCH(A54,Work_Items!$A$2:$A$300,0))</f>
        <v>DPC 1.5in PCC 1:2:4 with WP admixture, bitumen &amp; polythene</v>
      </c>
      <c r="C54" s="6" t="s">
        <v>657</v>
      </c>
      <c r="D54" s="8" t="str">
        <f aca="false">INDEX(Material_Master!$D$2:$D$1000,MATCH(C54,Material_Master!$A$2:$A$1000,0))</f>
        <v>Integral waterproofing compound (powder/liquid)</v>
      </c>
      <c r="E54" s="6" t="s">
        <v>2948</v>
      </c>
      <c r="F54" s="6"/>
      <c r="G54" s="6"/>
      <c r="H54" s="9" t="n">
        <f aca="false">Coefficients!$D$51</f>
        <v>0.0224269213670228</v>
      </c>
      <c r="I54" s="6" t="s">
        <v>2944</v>
      </c>
      <c r="J54" s="6"/>
      <c r="K54" s="8" t="str">
        <f aca="false">INDEX(Material_Master!$F$2:$F$1000,MATCH(C54,Material_Master!$A$2:$A$1000,0))</f>
        <v>kg</v>
      </c>
      <c r="L54" s="10" t="n">
        <f aca="false">INDEX(Material_Master!$Q$2:$Q$1000,MATCH(C54,Material_Master!$A$2:$A$1000,0))</f>
        <v>0.05</v>
      </c>
    </row>
    <row r="55" customFormat="false" ht="15" hidden="false" customHeight="false" outlineLevel="0" collapsed="false">
      <c r="A55" s="6" t="s">
        <v>2584</v>
      </c>
      <c r="B55" s="8" t="str">
        <f aca="false">INDEX(Work_Items!$D$2:$D$300,MATCH(A55,Work_Items!$A$2:$A$300,0))</f>
        <v>Plinth protection / apron PCC 1:2:4 3in</v>
      </c>
      <c r="C55" s="6" t="s">
        <v>211</v>
      </c>
      <c r="D55" s="8" t="str">
        <f aca="false">INDEX(Material_Master!$D$2:$D$1000,MATCH(C55,Material_Master!$A$2:$A$1000,0))</f>
        <v>Ordinary Portland Cement (OPC) - 50 kg bag</v>
      </c>
      <c r="E55" s="6" t="s">
        <v>2949</v>
      </c>
      <c r="F55" s="6" t="s">
        <v>2932</v>
      </c>
      <c r="G55" s="6" t="s">
        <v>2928</v>
      </c>
      <c r="H55" s="9" t="n">
        <f aca="false">Coefficients!$D$66*Mix_Design!$J$4</f>
        <v>0.0448538427340456</v>
      </c>
      <c r="I55" s="6" t="s">
        <v>2941</v>
      </c>
      <c r="J55" s="6"/>
      <c r="K55" s="8" t="str">
        <f aca="false">INDEX(Material_Master!$F$2:$F$1000,MATCH(C55,Material_Master!$A$2:$A$1000,0))</f>
        <v>bag</v>
      </c>
      <c r="L55" s="10" t="n">
        <f aca="false">INDEX(Material_Master!$Q$2:$Q$1000,MATCH(C55,Material_Master!$A$2:$A$1000,0))</f>
        <v>0.02</v>
      </c>
    </row>
    <row r="56" customFormat="false" ht="15" hidden="false" customHeight="false" outlineLevel="0" collapsed="false">
      <c r="A56" s="6" t="s">
        <v>2584</v>
      </c>
      <c r="B56" s="8" t="str">
        <f aca="false">INDEX(Work_Items!$D$2:$D$300,MATCH(A56,Work_Items!$A$2:$A$300,0))</f>
        <v>Plinth protection / apron PCC 1:2:4 3in</v>
      </c>
      <c r="C56" s="6" t="s">
        <v>246</v>
      </c>
      <c r="D56" s="8" t="str">
        <f aca="false">INDEX(Material_Master!$D$2:$D$1000,MATCH(C56,Material_Master!$A$2:$A$1000,0))</f>
        <v>Coarse sand for concrete (Lawrencepur)</v>
      </c>
      <c r="E56" s="6" t="s">
        <v>2949</v>
      </c>
      <c r="F56" s="6" t="s">
        <v>2932</v>
      </c>
      <c r="G56" s="6" t="s">
        <v>2930</v>
      </c>
      <c r="H56" s="9" t="n">
        <f aca="false">Coefficients!$D$66*Mix_Design!$K$4</f>
        <v>0.11</v>
      </c>
      <c r="I56" s="6" t="s">
        <v>2942</v>
      </c>
      <c r="J56" s="6"/>
      <c r="K56" s="8" t="str">
        <f aca="false">INDEX(Material_Master!$F$2:$F$1000,MATCH(C56,Material_Master!$A$2:$A$1000,0))</f>
        <v>cft</v>
      </c>
      <c r="L56" s="10" t="n">
        <f aca="false">INDEX(Material_Master!$Q$2:$Q$1000,MATCH(C56,Material_Master!$A$2:$A$1000,0))</f>
        <v>0.1</v>
      </c>
    </row>
    <row r="57" customFormat="false" ht="15" hidden="false" customHeight="false" outlineLevel="0" collapsed="false">
      <c r="A57" s="6" t="s">
        <v>2584</v>
      </c>
      <c r="B57" s="8" t="str">
        <f aca="false">INDEX(Work_Items!$D$2:$D$300,MATCH(A57,Work_Items!$A$2:$A$300,0))</f>
        <v>Plinth protection / apron PCC 1:2:4 3in</v>
      </c>
      <c r="C57" s="6" t="s">
        <v>277</v>
      </c>
      <c r="D57" s="8" t="str">
        <f aca="false">INDEX(Material_Master!$D$2:$D$1000,MATCH(C57,Material_Master!$A$2:$A$1000,0))</f>
        <v>Crushed stone 1/2in / 3/8in down</v>
      </c>
      <c r="E57" s="6" t="s">
        <v>2949</v>
      </c>
      <c r="F57" s="6" t="s">
        <v>2932</v>
      </c>
      <c r="G57" s="6" t="s">
        <v>2931</v>
      </c>
      <c r="H57" s="9" t="n">
        <f aca="false">Coefficients!$D$66*Mix_Design!$L$4</f>
        <v>0.22</v>
      </c>
      <c r="I57" s="6" t="s">
        <v>2942</v>
      </c>
      <c r="J57" s="6"/>
      <c r="K57" s="8" t="str">
        <f aca="false">INDEX(Material_Master!$F$2:$F$1000,MATCH(C57,Material_Master!$A$2:$A$1000,0))</f>
        <v>cft</v>
      </c>
      <c r="L57" s="10" t="n">
        <f aca="false">INDEX(Material_Master!$Q$2:$Q$1000,MATCH(C57,Material_Master!$A$2:$A$1000,0))</f>
        <v>0.075</v>
      </c>
    </row>
    <row r="58" customFormat="false" ht="15" hidden="false" customHeight="false" outlineLevel="0" collapsed="false">
      <c r="A58" s="6" t="s">
        <v>2589</v>
      </c>
      <c r="B58" s="8" t="str">
        <f aca="false">INDEX(Work_Items!$D$2:$D$300,MATCH(A58,Work_Items!$A$2:$A$300,0))</f>
        <v>Reinforcement in footings</v>
      </c>
      <c r="C58" s="6" t="s">
        <v>353</v>
      </c>
      <c r="D58" s="8" t="str">
        <f aca="false">INDEX(Material_Master!$D$2:$D$1000,MATCH(C58,Material_Master!$A$2:$A$1000,0))</f>
        <v>Deformed bar #3 (10 mm / 3/8in)</v>
      </c>
      <c r="E58" s="6" t="s">
        <v>2950</v>
      </c>
      <c r="F58" s="6"/>
      <c r="G58" s="6"/>
      <c r="H58" s="9" t="n">
        <f aca="false">Coefficients!$D$94</f>
        <v>0.3</v>
      </c>
      <c r="I58" s="6" t="s">
        <v>2951</v>
      </c>
      <c r="J58" s="6" t="s">
        <v>2952</v>
      </c>
      <c r="K58" s="8" t="str">
        <f aca="false">INDEX(Material_Master!$F$2:$F$1000,MATCH(C58,Material_Master!$A$2:$A$1000,0))</f>
        <v>kg</v>
      </c>
      <c r="L58" s="10" t="n">
        <f aca="false">INDEX(Material_Master!$Q$2:$Q$1000,MATCH(C58,Material_Master!$A$2:$A$1000,0))</f>
        <v>0.03</v>
      </c>
    </row>
    <row r="59" customFormat="false" ht="15" hidden="false" customHeight="false" outlineLevel="0" collapsed="false">
      <c r="A59" s="6" t="s">
        <v>2589</v>
      </c>
      <c r="B59" s="8" t="str">
        <f aca="false">INDEX(Work_Items!$D$2:$D$300,MATCH(A59,Work_Items!$A$2:$A$300,0))</f>
        <v>Reinforcement in footings</v>
      </c>
      <c r="C59" s="6" t="s">
        <v>367</v>
      </c>
      <c r="D59" s="8" t="str">
        <f aca="false">INDEX(Material_Master!$D$2:$D$1000,MATCH(C59,Material_Master!$A$2:$A$1000,0))</f>
        <v>Deformed bar #4 (12 mm / 1/2in)</v>
      </c>
      <c r="E59" s="6" t="s">
        <v>2953</v>
      </c>
      <c r="F59" s="6"/>
      <c r="G59" s="6"/>
      <c r="H59" s="9" t="n">
        <f aca="false">Coefficients!$D$95</f>
        <v>0.7</v>
      </c>
      <c r="I59" s="6" t="s">
        <v>2951</v>
      </c>
      <c r="J59" s="6" t="s">
        <v>2952</v>
      </c>
      <c r="K59" s="8" t="str">
        <f aca="false">INDEX(Material_Master!$F$2:$F$1000,MATCH(C59,Material_Master!$A$2:$A$1000,0))</f>
        <v>kg</v>
      </c>
      <c r="L59" s="10" t="n">
        <f aca="false">INDEX(Material_Master!$Q$2:$Q$1000,MATCH(C59,Material_Master!$A$2:$A$1000,0))</f>
        <v>0.03</v>
      </c>
    </row>
    <row r="60" customFormat="false" ht="15" hidden="false" customHeight="false" outlineLevel="0" collapsed="false">
      <c r="A60" s="6" t="s">
        <v>2589</v>
      </c>
      <c r="B60" s="8" t="str">
        <f aca="false">INDEX(Work_Items!$D$2:$D$300,MATCH(A60,Work_Items!$A$2:$A$300,0))</f>
        <v>Reinforcement in footings</v>
      </c>
      <c r="C60" s="6" t="s">
        <v>391</v>
      </c>
      <c r="D60" s="8" t="str">
        <f aca="false">INDEX(Material_Master!$D$2:$D$1000,MATCH(C60,Material_Master!$A$2:$A$1000,0))</f>
        <v>Binding wire (black annealed)</v>
      </c>
      <c r="E60" s="6" t="s">
        <v>2954</v>
      </c>
      <c r="F60" s="6"/>
      <c r="G60" s="6"/>
      <c r="H60" s="9" t="n">
        <f aca="false">Coefficients!$D$98</f>
        <v>0.01</v>
      </c>
      <c r="I60" s="6" t="s">
        <v>2951</v>
      </c>
      <c r="J60" s="6"/>
      <c r="K60" s="8" t="str">
        <f aca="false">INDEX(Material_Master!$F$2:$F$1000,MATCH(C60,Material_Master!$A$2:$A$1000,0))</f>
        <v>kg</v>
      </c>
      <c r="L60" s="10" t="n">
        <f aca="false">INDEX(Material_Master!$Q$2:$Q$1000,MATCH(C60,Material_Master!$A$2:$A$1000,0))</f>
        <v>0</v>
      </c>
    </row>
    <row r="61" customFormat="false" ht="15" hidden="false" customHeight="false" outlineLevel="0" collapsed="false">
      <c r="A61" s="6" t="s">
        <v>2595</v>
      </c>
      <c r="B61" s="8" t="str">
        <f aca="false">INDEX(Work_Items!$D$2:$D$300,MATCH(A61,Work_Items!$A$2:$A$300,0))</f>
        <v>Reinforcement in columns</v>
      </c>
      <c r="C61" s="6" t="s">
        <v>353</v>
      </c>
      <c r="D61" s="8" t="str">
        <f aca="false">INDEX(Material_Master!$D$2:$D$1000,MATCH(C61,Material_Master!$A$2:$A$1000,0))</f>
        <v>Deformed bar #3 (10 mm / 3/8in)</v>
      </c>
      <c r="E61" s="6" t="s">
        <v>2955</v>
      </c>
      <c r="F61" s="6"/>
      <c r="G61" s="6"/>
      <c r="H61" s="9" t="n">
        <f aca="false">Coefficients!$D$91</f>
        <v>0.25</v>
      </c>
      <c r="I61" s="6" t="s">
        <v>2951</v>
      </c>
      <c r="J61" s="6" t="s">
        <v>2952</v>
      </c>
      <c r="K61" s="8" t="str">
        <f aca="false">INDEX(Material_Master!$F$2:$F$1000,MATCH(C61,Material_Master!$A$2:$A$1000,0))</f>
        <v>kg</v>
      </c>
      <c r="L61" s="10" t="n">
        <f aca="false">INDEX(Material_Master!$Q$2:$Q$1000,MATCH(C61,Material_Master!$A$2:$A$1000,0))</f>
        <v>0.03</v>
      </c>
    </row>
    <row r="62" customFormat="false" ht="15" hidden="false" customHeight="false" outlineLevel="0" collapsed="false">
      <c r="A62" s="6" t="s">
        <v>2595</v>
      </c>
      <c r="B62" s="8" t="str">
        <f aca="false">INDEX(Work_Items!$D$2:$D$300,MATCH(A62,Work_Items!$A$2:$A$300,0))</f>
        <v>Reinforcement in columns</v>
      </c>
      <c r="C62" s="6" t="s">
        <v>367</v>
      </c>
      <c r="D62" s="8" t="str">
        <f aca="false">INDEX(Material_Master!$D$2:$D$1000,MATCH(C62,Material_Master!$A$2:$A$1000,0))</f>
        <v>Deformed bar #4 (12 mm / 1/2in)</v>
      </c>
      <c r="E62" s="6" t="s">
        <v>2956</v>
      </c>
      <c r="F62" s="6"/>
      <c r="G62" s="6"/>
      <c r="H62" s="9" t="n">
        <f aca="false">Coefficients!$D$92</f>
        <v>0.35</v>
      </c>
      <c r="I62" s="6" t="s">
        <v>2951</v>
      </c>
      <c r="J62" s="6" t="s">
        <v>2952</v>
      </c>
      <c r="K62" s="8" t="str">
        <f aca="false">INDEX(Material_Master!$F$2:$F$1000,MATCH(C62,Material_Master!$A$2:$A$1000,0))</f>
        <v>kg</v>
      </c>
      <c r="L62" s="10" t="n">
        <f aca="false">INDEX(Material_Master!$Q$2:$Q$1000,MATCH(C62,Material_Master!$A$2:$A$1000,0))</f>
        <v>0.03</v>
      </c>
    </row>
    <row r="63" customFormat="false" ht="15" hidden="false" customHeight="false" outlineLevel="0" collapsed="false">
      <c r="A63" s="6" t="s">
        <v>2595</v>
      </c>
      <c r="B63" s="8" t="str">
        <f aca="false">INDEX(Work_Items!$D$2:$D$300,MATCH(A63,Work_Items!$A$2:$A$300,0))</f>
        <v>Reinforcement in columns</v>
      </c>
      <c r="C63" s="6" t="s">
        <v>376</v>
      </c>
      <c r="D63" s="8" t="str">
        <f aca="false">INDEX(Material_Master!$D$2:$D$1000,MATCH(C63,Material_Master!$A$2:$A$1000,0))</f>
        <v>Deformed bar #5 (16 mm / 5/8in)</v>
      </c>
      <c r="E63" s="6" t="s">
        <v>2957</v>
      </c>
      <c r="F63" s="6"/>
      <c r="G63" s="6"/>
      <c r="H63" s="9" t="n">
        <f aca="false">Coefficients!$D$93</f>
        <v>0.4</v>
      </c>
      <c r="I63" s="6" t="s">
        <v>2951</v>
      </c>
      <c r="J63" s="6" t="s">
        <v>2952</v>
      </c>
      <c r="K63" s="8" t="str">
        <f aca="false">INDEX(Material_Master!$F$2:$F$1000,MATCH(C63,Material_Master!$A$2:$A$1000,0))</f>
        <v>kg</v>
      </c>
      <c r="L63" s="10" t="n">
        <f aca="false">INDEX(Material_Master!$Q$2:$Q$1000,MATCH(C63,Material_Master!$A$2:$A$1000,0))</f>
        <v>0.03</v>
      </c>
    </row>
    <row r="64" customFormat="false" ht="15" hidden="false" customHeight="false" outlineLevel="0" collapsed="false">
      <c r="A64" s="6" t="s">
        <v>2595</v>
      </c>
      <c r="B64" s="8" t="str">
        <f aca="false">INDEX(Work_Items!$D$2:$D$300,MATCH(A64,Work_Items!$A$2:$A$300,0))</f>
        <v>Reinforcement in columns</v>
      </c>
      <c r="C64" s="6" t="s">
        <v>391</v>
      </c>
      <c r="D64" s="8" t="str">
        <f aca="false">INDEX(Material_Master!$D$2:$D$1000,MATCH(C64,Material_Master!$A$2:$A$1000,0))</f>
        <v>Binding wire (black annealed)</v>
      </c>
      <c r="E64" s="6" t="s">
        <v>2954</v>
      </c>
      <c r="F64" s="6"/>
      <c r="G64" s="6"/>
      <c r="H64" s="9" t="n">
        <f aca="false">Coefficients!$D$98</f>
        <v>0.01</v>
      </c>
      <c r="I64" s="6" t="s">
        <v>2951</v>
      </c>
      <c r="J64" s="6"/>
      <c r="K64" s="8" t="str">
        <f aca="false">INDEX(Material_Master!$F$2:$F$1000,MATCH(C64,Material_Master!$A$2:$A$1000,0))</f>
        <v>kg</v>
      </c>
      <c r="L64" s="10" t="n">
        <f aca="false">INDEX(Material_Master!$Q$2:$Q$1000,MATCH(C64,Material_Master!$A$2:$A$1000,0))</f>
        <v>0</v>
      </c>
    </row>
    <row r="65" customFormat="false" ht="15" hidden="false" customHeight="false" outlineLevel="0" collapsed="false">
      <c r="A65" s="6" t="s">
        <v>2601</v>
      </c>
      <c r="B65" s="8" t="str">
        <f aca="false">INDEX(Work_Items!$D$2:$D$300,MATCH(A65,Work_Items!$A$2:$A$300,0))</f>
        <v>Reinforcement in beams &amp; plinth beams</v>
      </c>
      <c r="C65" s="6" t="s">
        <v>353</v>
      </c>
      <c r="D65" s="8" t="str">
        <f aca="false">INDEX(Material_Master!$D$2:$D$1000,MATCH(C65,Material_Master!$A$2:$A$1000,0))</f>
        <v>Deformed bar #3 (10 mm / 3/8in)</v>
      </c>
      <c r="E65" s="6" t="s">
        <v>2958</v>
      </c>
      <c r="F65" s="6"/>
      <c r="G65" s="6"/>
      <c r="H65" s="9" t="n">
        <f aca="false">Coefficients!$D$88</f>
        <v>0.25</v>
      </c>
      <c r="I65" s="6" t="s">
        <v>2951</v>
      </c>
      <c r="J65" s="6" t="s">
        <v>2952</v>
      </c>
      <c r="K65" s="8" t="str">
        <f aca="false">INDEX(Material_Master!$F$2:$F$1000,MATCH(C65,Material_Master!$A$2:$A$1000,0))</f>
        <v>kg</v>
      </c>
      <c r="L65" s="10" t="n">
        <f aca="false">INDEX(Material_Master!$Q$2:$Q$1000,MATCH(C65,Material_Master!$A$2:$A$1000,0))</f>
        <v>0.03</v>
      </c>
    </row>
    <row r="66" customFormat="false" ht="15" hidden="false" customHeight="false" outlineLevel="0" collapsed="false">
      <c r="A66" s="6" t="s">
        <v>2601</v>
      </c>
      <c r="B66" s="8" t="str">
        <f aca="false">INDEX(Work_Items!$D$2:$D$300,MATCH(A66,Work_Items!$A$2:$A$300,0))</f>
        <v>Reinforcement in beams &amp; plinth beams</v>
      </c>
      <c r="C66" s="6" t="s">
        <v>367</v>
      </c>
      <c r="D66" s="8" t="str">
        <f aca="false">INDEX(Material_Master!$D$2:$D$1000,MATCH(C66,Material_Master!$A$2:$A$1000,0))</f>
        <v>Deformed bar #4 (12 mm / 1/2in)</v>
      </c>
      <c r="E66" s="6" t="s">
        <v>2959</v>
      </c>
      <c r="F66" s="6"/>
      <c r="G66" s="6"/>
      <c r="H66" s="9" t="n">
        <f aca="false">Coefficients!$D$89</f>
        <v>0.35</v>
      </c>
      <c r="I66" s="6" t="s">
        <v>2951</v>
      </c>
      <c r="J66" s="6" t="s">
        <v>2952</v>
      </c>
      <c r="K66" s="8" t="str">
        <f aca="false">INDEX(Material_Master!$F$2:$F$1000,MATCH(C66,Material_Master!$A$2:$A$1000,0))</f>
        <v>kg</v>
      </c>
      <c r="L66" s="10" t="n">
        <f aca="false">INDEX(Material_Master!$Q$2:$Q$1000,MATCH(C66,Material_Master!$A$2:$A$1000,0))</f>
        <v>0.03</v>
      </c>
    </row>
    <row r="67" customFormat="false" ht="15" hidden="false" customHeight="false" outlineLevel="0" collapsed="false">
      <c r="A67" s="6" t="s">
        <v>2601</v>
      </c>
      <c r="B67" s="8" t="str">
        <f aca="false">INDEX(Work_Items!$D$2:$D$300,MATCH(A67,Work_Items!$A$2:$A$300,0))</f>
        <v>Reinforcement in beams &amp; plinth beams</v>
      </c>
      <c r="C67" s="6" t="s">
        <v>376</v>
      </c>
      <c r="D67" s="8" t="str">
        <f aca="false">INDEX(Material_Master!$D$2:$D$1000,MATCH(C67,Material_Master!$A$2:$A$1000,0))</f>
        <v>Deformed bar #5 (16 mm / 5/8in)</v>
      </c>
      <c r="E67" s="6" t="s">
        <v>2960</v>
      </c>
      <c r="F67" s="6"/>
      <c r="G67" s="6"/>
      <c r="H67" s="9" t="n">
        <f aca="false">Coefficients!$D$90</f>
        <v>0.4</v>
      </c>
      <c r="I67" s="6" t="s">
        <v>2951</v>
      </c>
      <c r="J67" s="6" t="s">
        <v>2952</v>
      </c>
      <c r="K67" s="8" t="str">
        <f aca="false">INDEX(Material_Master!$F$2:$F$1000,MATCH(C67,Material_Master!$A$2:$A$1000,0))</f>
        <v>kg</v>
      </c>
      <c r="L67" s="10" t="n">
        <f aca="false">INDEX(Material_Master!$Q$2:$Q$1000,MATCH(C67,Material_Master!$A$2:$A$1000,0))</f>
        <v>0.03</v>
      </c>
    </row>
    <row r="68" customFormat="false" ht="15" hidden="false" customHeight="false" outlineLevel="0" collapsed="false">
      <c r="A68" s="6" t="s">
        <v>2601</v>
      </c>
      <c r="B68" s="8" t="str">
        <f aca="false">INDEX(Work_Items!$D$2:$D$300,MATCH(A68,Work_Items!$A$2:$A$300,0))</f>
        <v>Reinforcement in beams &amp; plinth beams</v>
      </c>
      <c r="C68" s="6" t="s">
        <v>391</v>
      </c>
      <c r="D68" s="8" t="str">
        <f aca="false">INDEX(Material_Master!$D$2:$D$1000,MATCH(C68,Material_Master!$A$2:$A$1000,0))</f>
        <v>Binding wire (black annealed)</v>
      </c>
      <c r="E68" s="6" t="s">
        <v>2954</v>
      </c>
      <c r="F68" s="6"/>
      <c r="G68" s="6"/>
      <c r="H68" s="9" t="n">
        <f aca="false">Coefficients!$D$98</f>
        <v>0.01</v>
      </c>
      <c r="I68" s="6" t="s">
        <v>2951</v>
      </c>
      <c r="J68" s="6"/>
      <c r="K68" s="8" t="str">
        <f aca="false">INDEX(Material_Master!$F$2:$F$1000,MATCH(C68,Material_Master!$A$2:$A$1000,0))</f>
        <v>kg</v>
      </c>
      <c r="L68" s="10" t="n">
        <f aca="false">INDEX(Material_Master!$Q$2:$Q$1000,MATCH(C68,Material_Master!$A$2:$A$1000,0))</f>
        <v>0</v>
      </c>
    </row>
    <row r="69" customFormat="false" ht="15" hidden="false" customHeight="false" outlineLevel="0" collapsed="false">
      <c r="A69" s="6" t="s">
        <v>2607</v>
      </c>
      <c r="B69" s="8" t="str">
        <f aca="false">INDEX(Work_Items!$D$2:$D$300,MATCH(A69,Work_Items!$A$2:$A$300,0))</f>
        <v>Reinforcement in slabs</v>
      </c>
      <c r="C69" s="6" t="s">
        <v>353</v>
      </c>
      <c r="D69" s="8" t="str">
        <f aca="false">INDEX(Material_Master!$D$2:$D$1000,MATCH(C69,Material_Master!$A$2:$A$1000,0))</f>
        <v>Deformed bar #3 (10 mm / 3/8in)</v>
      </c>
      <c r="E69" s="6" t="s">
        <v>2961</v>
      </c>
      <c r="F69" s="6"/>
      <c r="G69" s="6"/>
      <c r="H69" s="9" t="n">
        <f aca="false">Coefficients!$D$86</f>
        <v>0.35</v>
      </c>
      <c r="I69" s="6" t="s">
        <v>2951</v>
      </c>
      <c r="J69" s="6" t="s">
        <v>2952</v>
      </c>
      <c r="K69" s="8" t="str">
        <f aca="false">INDEX(Material_Master!$F$2:$F$1000,MATCH(C69,Material_Master!$A$2:$A$1000,0))</f>
        <v>kg</v>
      </c>
      <c r="L69" s="10" t="n">
        <f aca="false">INDEX(Material_Master!$Q$2:$Q$1000,MATCH(C69,Material_Master!$A$2:$A$1000,0))</f>
        <v>0.03</v>
      </c>
    </row>
    <row r="70" customFormat="false" ht="15" hidden="false" customHeight="false" outlineLevel="0" collapsed="false">
      <c r="A70" s="6" t="s">
        <v>2607</v>
      </c>
      <c r="B70" s="8" t="str">
        <f aca="false">INDEX(Work_Items!$D$2:$D$300,MATCH(A70,Work_Items!$A$2:$A$300,0))</f>
        <v>Reinforcement in slabs</v>
      </c>
      <c r="C70" s="6" t="s">
        <v>367</v>
      </c>
      <c r="D70" s="8" t="str">
        <f aca="false">INDEX(Material_Master!$D$2:$D$1000,MATCH(C70,Material_Master!$A$2:$A$1000,0))</f>
        <v>Deformed bar #4 (12 mm / 1/2in)</v>
      </c>
      <c r="E70" s="6" t="s">
        <v>2962</v>
      </c>
      <c r="F70" s="6"/>
      <c r="G70" s="6"/>
      <c r="H70" s="9" t="n">
        <f aca="false">Coefficients!$D$87</f>
        <v>0.65</v>
      </c>
      <c r="I70" s="6" t="s">
        <v>2951</v>
      </c>
      <c r="J70" s="6" t="s">
        <v>2952</v>
      </c>
      <c r="K70" s="8" t="str">
        <f aca="false">INDEX(Material_Master!$F$2:$F$1000,MATCH(C70,Material_Master!$A$2:$A$1000,0))</f>
        <v>kg</v>
      </c>
      <c r="L70" s="10" t="n">
        <f aca="false">INDEX(Material_Master!$Q$2:$Q$1000,MATCH(C70,Material_Master!$A$2:$A$1000,0))</f>
        <v>0.03</v>
      </c>
    </row>
    <row r="71" customFormat="false" ht="15" hidden="false" customHeight="false" outlineLevel="0" collapsed="false">
      <c r="A71" s="6" t="s">
        <v>2607</v>
      </c>
      <c r="B71" s="8" t="str">
        <f aca="false">INDEX(Work_Items!$D$2:$D$300,MATCH(A71,Work_Items!$A$2:$A$300,0))</f>
        <v>Reinforcement in slabs</v>
      </c>
      <c r="C71" s="6" t="s">
        <v>391</v>
      </c>
      <c r="D71" s="8" t="str">
        <f aca="false">INDEX(Material_Master!$D$2:$D$1000,MATCH(C71,Material_Master!$A$2:$A$1000,0))</f>
        <v>Binding wire (black annealed)</v>
      </c>
      <c r="E71" s="6" t="s">
        <v>2954</v>
      </c>
      <c r="F71" s="6"/>
      <c r="G71" s="6"/>
      <c r="H71" s="9" t="n">
        <f aca="false">Coefficients!$D$98</f>
        <v>0.01</v>
      </c>
      <c r="I71" s="6" t="s">
        <v>2951</v>
      </c>
      <c r="J71" s="6"/>
      <c r="K71" s="8" t="str">
        <f aca="false">INDEX(Material_Master!$F$2:$F$1000,MATCH(C71,Material_Master!$A$2:$A$1000,0))</f>
        <v>kg</v>
      </c>
      <c r="L71" s="10" t="n">
        <f aca="false">INDEX(Material_Master!$Q$2:$Q$1000,MATCH(C71,Material_Master!$A$2:$A$1000,0))</f>
        <v>0</v>
      </c>
    </row>
    <row r="72" customFormat="false" ht="15" hidden="false" customHeight="false" outlineLevel="0" collapsed="false">
      <c r="A72" s="6" t="s">
        <v>2612</v>
      </c>
      <c r="B72" s="8" t="str">
        <f aca="false">INDEX(Work_Items!$D$2:$D$300,MATCH(A72,Work_Items!$A$2:$A$300,0))</f>
        <v>Reinforcement in stairs</v>
      </c>
      <c r="C72" s="6" t="s">
        <v>353</v>
      </c>
      <c r="D72" s="8" t="str">
        <f aca="false">INDEX(Material_Master!$D$2:$D$1000,MATCH(C72,Material_Master!$A$2:$A$1000,0))</f>
        <v>Deformed bar #3 (10 mm / 3/8in)</v>
      </c>
      <c r="E72" s="6" t="s">
        <v>2961</v>
      </c>
      <c r="F72" s="6"/>
      <c r="G72" s="6"/>
      <c r="H72" s="9" t="n">
        <f aca="false">Coefficients!$D$86</f>
        <v>0.35</v>
      </c>
      <c r="I72" s="6" t="s">
        <v>2951</v>
      </c>
      <c r="J72" s="6" t="s">
        <v>2952</v>
      </c>
      <c r="K72" s="8" t="str">
        <f aca="false">INDEX(Material_Master!$F$2:$F$1000,MATCH(C72,Material_Master!$A$2:$A$1000,0))</f>
        <v>kg</v>
      </c>
      <c r="L72" s="10" t="n">
        <f aca="false">INDEX(Material_Master!$Q$2:$Q$1000,MATCH(C72,Material_Master!$A$2:$A$1000,0))</f>
        <v>0.03</v>
      </c>
    </row>
    <row r="73" customFormat="false" ht="15" hidden="false" customHeight="false" outlineLevel="0" collapsed="false">
      <c r="A73" s="6" t="s">
        <v>2612</v>
      </c>
      <c r="B73" s="8" t="str">
        <f aca="false">INDEX(Work_Items!$D$2:$D$300,MATCH(A73,Work_Items!$A$2:$A$300,0))</f>
        <v>Reinforcement in stairs</v>
      </c>
      <c r="C73" s="6" t="s">
        <v>367</v>
      </c>
      <c r="D73" s="8" t="str">
        <f aca="false">INDEX(Material_Master!$D$2:$D$1000,MATCH(C73,Material_Master!$A$2:$A$1000,0))</f>
        <v>Deformed bar #4 (12 mm / 1/2in)</v>
      </c>
      <c r="E73" s="6" t="s">
        <v>2962</v>
      </c>
      <c r="F73" s="6"/>
      <c r="G73" s="6"/>
      <c r="H73" s="9" t="n">
        <f aca="false">Coefficients!$D$87</f>
        <v>0.65</v>
      </c>
      <c r="I73" s="6" t="s">
        <v>2951</v>
      </c>
      <c r="J73" s="6" t="s">
        <v>2952</v>
      </c>
      <c r="K73" s="8" t="str">
        <f aca="false">INDEX(Material_Master!$F$2:$F$1000,MATCH(C73,Material_Master!$A$2:$A$1000,0))</f>
        <v>kg</v>
      </c>
      <c r="L73" s="10" t="n">
        <f aca="false">INDEX(Material_Master!$Q$2:$Q$1000,MATCH(C73,Material_Master!$A$2:$A$1000,0))</f>
        <v>0.03</v>
      </c>
    </row>
    <row r="74" customFormat="false" ht="15" hidden="false" customHeight="false" outlineLevel="0" collapsed="false">
      <c r="A74" s="6" t="s">
        <v>2612</v>
      </c>
      <c r="B74" s="8" t="str">
        <f aca="false">INDEX(Work_Items!$D$2:$D$300,MATCH(A74,Work_Items!$A$2:$A$300,0))</f>
        <v>Reinforcement in stairs</v>
      </c>
      <c r="C74" s="6" t="s">
        <v>391</v>
      </c>
      <c r="D74" s="8" t="str">
        <f aca="false">INDEX(Material_Master!$D$2:$D$1000,MATCH(C74,Material_Master!$A$2:$A$1000,0))</f>
        <v>Binding wire (black annealed)</v>
      </c>
      <c r="E74" s="6" t="s">
        <v>2954</v>
      </c>
      <c r="F74" s="6"/>
      <c r="G74" s="6"/>
      <c r="H74" s="9" t="n">
        <f aca="false">Coefficients!$D$98</f>
        <v>0.01</v>
      </c>
      <c r="I74" s="6" t="s">
        <v>2951</v>
      </c>
      <c r="J74" s="6"/>
      <c r="K74" s="8" t="str">
        <f aca="false">INDEX(Material_Master!$F$2:$F$1000,MATCH(C74,Material_Master!$A$2:$A$1000,0))</f>
        <v>kg</v>
      </c>
      <c r="L74" s="10" t="n">
        <f aca="false">INDEX(Material_Master!$Q$2:$Q$1000,MATCH(C74,Material_Master!$A$2:$A$1000,0))</f>
        <v>0</v>
      </c>
    </row>
    <row r="75" customFormat="false" ht="15" hidden="false" customHeight="false" outlineLevel="0" collapsed="false">
      <c r="A75" s="6" t="s">
        <v>2617</v>
      </c>
      <c r="B75" s="8" t="str">
        <f aca="false">INDEX(Work_Items!$D$2:$D$300,MATCH(A75,Work_Items!$A$2:$A$300,0))</f>
        <v>Reinforcement in lintels, bands, chajjas</v>
      </c>
      <c r="C75" s="6" t="s">
        <v>353</v>
      </c>
      <c r="D75" s="8" t="str">
        <f aca="false">INDEX(Material_Master!$D$2:$D$1000,MATCH(C75,Material_Master!$A$2:$A$1000,0))</f>
        <v>Deformed bar #3 (10 mm / 3/8in)</v>
      </c>
      <c r="E75" s="6" t="s">
        <v>2963</v>
      </c>
      <c r="F75" s="6"/>
      <c r="G75" s="6"/>
      <c r="H75" s="9" t="n">
        <f aca="false">Coefficients!$D$96</f>
        <v>0.4</v>
      </c>
      <c r="I75" s="6" t="s">
        <v>2951</v>
      </c>
      <c r="J75" s="6" t="s">
        <v>2952</v>
      </c>
      <c r="K75" s="8" t="str">
        <f aca="false">INDEX(Material_Master!$F$2:$F$1000,MATCH(C75,Material_Master!$A$2:$A$1000,0))</f>
        <v>kg</v>
      </c>
      <c r="L75" s="10" t="n">
        <f aca="false">INDEX(Material_Master!$Q$2:$Q$1000,MATCH(C75,Material_Master!$A$2:$A$1000,0))</f>
        <v>0.03</v>
      </c>
    </row>
    <row r="76" customFormat="false" ht="15" hidden="false" customHeight="false" outlineLevel="0" collapsed="false">
      <c r="A76" s="6" t="s">
        <v>2617</v>
      </c>
      <c r="B76" s="8" t="str">
        <f aca="false">INDEX(Work_Items!$D$2:$D$300,MATCH(A76,Work_Items!$A$2:$A$300,0))</f>
        <v>Reinforcement in lintels, bands, chajjas</v>
      </c>
      <c r="C76" s="6" t="s">
        <v>367</v>
      </c>
      <c r="D76" s="8" t="str">
        <f aca="false">INDEX(Material_Master!$D$2:$D$1000,MATCH(C76,Material_Master!$A$2:$A$1000,0))</f>
        <v>Deformed bar #4 (12 mm / 1/2in)</v>
      </c>
      <c r="E76" s="6" t="s">
        <v>2964</v>
      </c>
      <c r="F76" s="6"/>
      <c r="G76" s="6"/>
      <c r="H76" s="9" t="n">
        <f aca="false">Coefficients!$D$97</f>
        <v>0.6</v>
      </c>
      <c r="I76" s="6" t="s">
        <v>2951</v>
      </c>
      <c r="J76" s="6" t="s">
        <v>2952</v>
      </c>
      <c r="K76" s="8" t="str">
        <f aca="false">INDEX(Material_Master!$F$2:$F$1000,MATCH(C76,Material_Master!$A$2:$A$1000,0))</f>
        <v>kg</v>
      </c>
      <c r="L76" s="10" t="n">
        <f aca="false">INDEX(Material_Master!$Q$2:$Q$1000,MATCH(C76,Material_Master!$A$2:$A$1000,0))</f>
        <v>0.03</v>
      </c>
    </row>
    <row r="77" customFormat="false" ht="15" hidden="false" customHeight="false" outlineLevel="0" collapsed="false">
      <c r="A77" s="6" t="s">
        <v>2617</v>
      </c>
      <c r="B77" s="8" t="str">
        <f aca="false">INDEX(Work_Items!$D$2:$D$300,MATCH(A77,Work_Items!$A$2:$A$300,0))</f>
        <v>Reinforcement in lintels, bands, chajjas</v>
      </c>
      <c r="C77" s="6" t="s">
        <v>391</v>
      </c>
      <c r="D77" s="8" t="str">
        <f aca="false">INDEX(Material_Master!$D$2:$D$1000,MATCH(C77,Material_Master!$A$2:$A$1000,0))</f>
        <v>Binding wire (black annealed)</v>
      </c>
      <c r="E77" s="6" t="s">
        <v>2954</v>
      </c>
      <c r="F77" s="6"/>
      <c r="G77" s="6"/>
      <c r="H77" s="9" t="n">
        <f aca="false">Coefficients!$D$98</f>
        <v>0.01</v>
      </c>
      <c r="I77" s="6" t="s">
        <v>2951</v>
      </c>
      <c r="J77" s="6"/>
      <c r="K77" s="8" t="str">
        <f aca="false">INDEX(Material_Master!$F$2:$F$1000,MATCH(C77,Material_Master!$A$2:$A$1000,0))</f>
        <v>kg</v>
      </c>
      <c r="L77" s="10" t="n">
        <f aca="false">INDEX(Material_Master!$Q$2:$Q$1000,MATCH(C77,Material_Master!$A$2:$A$1000,0))</f>
        <v>0</v>
      </c>
    </row>
    <row r="78" customFormat="false" ht="22.35" hidden="false" customHeight="false" outlineLevel="0" collapsed="false">
      <c r="A78" s="6" t="s">
        <v>2621</v>
      </c>
      <c r="B78" s="8" t="str">
        <f aca="false">INDEX(Work_Items!$D$2:$D$300,MATCH(A78,Work_Items!$A$2:$A$300,0))</f>
        <v>Reinforcement in tanks (3/8in @ 6-12in c/c both faces)</v>
      </c>
      <c r="C78" s="6" t="s">
        <v>353</v>
      </c>
      <c r="D78" s="8" t="str">
        <f aca="false">INDEX(Material_Master!$D$2:$D$1000,MATCH(C78,Material_Master!$A$2:$A$1000,0))</f>
        <v>Deformed bar #3 (10 mm / 3/8in)</v>
      </c>
      <c r="E78" s="6" t="s">
        <v>2914</v>
      </c>
      <c r="F78" s="6"/>
      <c r="G78" s="6"/>
      <c r="H78" s="9" t="n">
        <f aca="false">Coefficients!$D$2</f>
        <v>1</v>
      </c>
      <c r="I78" s="6" t="s">
        <v>2951</v>
      </c>
      <c r="J78" s="6" t="s">
        <v>2952</v>
      </c>
      <c r="K78" s="8" t="str">
        <f aca="false">INDEX(Material_Master!$F$2:$F$1000,MATCH(C78,Material_Master!$A$2:$A$1000,0))</f>
        <v>kg</v>
      </c>
      <c r="L78" s="10" t="n">
        <f aca="false">INDEX(Material_Master!$Q$2:$Q$1000,MATCH(C78,Material_Master!$A$2:$A$1000,0))</f>
        <v>0.03</v>
      </c>
    </row>
    <row r="79" customFormat="false" ht="22.35" hidden="false" customHeight="false" outlineLevel="0" collapsed="false">
      <c r="A79" s="6" t="s">
        <v>2621</v>
      </c>
      <c r="B79" s="8" t="str">
        <f aca="false">INDEX(Work_Items!$D$2:$D$300,MATCH(A79,Work_Items!$A$2:$A$300,0))</f>
        <v>Reinforcement in tanks (3/8in @ 6-12in c/c both faces)</v>
      </c>
      <c r="C79" s="6" t="s">
        <v>391</v>
      </c>
      <c r="D79" s="8" t="str">
        <f aca="false">INDEX(Material_Master!$D$2:$D$1000,MATCH(C79,Material_Master!$A$2:$A$1000,0))</f>
        <v>Binding wire (black annealed)</v>
      </c>
      <c r="E79" s="6" t="s">
        <v>2954</v>
      </c>
      <c r="F79" s="6"/>
      <c r="G79" s="6"/>
      <c r="H79" s="9" t="n">
        <f aca="false">Coefficients!$D$98</f>
        <v>0.01</v>
      </c>
      <c r="I79" s="6" t="s">
        <v>2951</v>
      </c>
      <c r="J79" s="6"/>
      <c r="K79" s="8" t="str">
        <f aca="false">INDEX(Material_Master!$F$2:$F$1000,MATCH(C79,Material_Master!$A$2:$A$1000,0))</f>
        <v>kg</v>
      </c>
      <c r="L79" s="10" t="n">
        <f aca="false">INDEX(Material_Master!$Q$2:$Q$1000,MATCH(C79,Material_Master!$A$2:$A$1000,0))</f>
        <v>0</v>
      </c>
    </row>
    <row r="80" customFormat="false" ht="22.35" hidden="false" customHeight="false" outlineLevel="0" collapsed="false">
      <c r="A80" s="6" t="s">
        <v>444</v>
      </c>
      <c r="B80" s="8" t="str">
        <f aca="false">INDEX(Work_Items!$D$2:$D$300,MATCH(A80,Work_Items!$A$2:$A$300,0))</f>
        <v>Formwork to slabs &amp; beam soffits (steel shuttering, hired)</v>
      </c>
      <c r="C80" s="6" t="s">
        <v>435</v>
      </c>
      <c r="D80" s="8" t="str">
        <f aca="false">INDEX(Material_Master!$D$2:$D$1000,MATCH(C80,Material_Master!$A$2:$A$1000,0))</f>
        <v>Steel shuttering plates (hire)</v>
      </c>
      <c r="E80" s="6" t="s">
        <v>2914</v>
      </c>
      <c r="F80" s="6"/>
      <c r="G80" s="6"/>
      <c r="H80" s="9" t="n">
        <f aca="false">Coefficients!$D$2</f>
        <v>1</v>
      </c>
      <c r="I80" s="6" t="s">
        <v>2925</v>
      </c>
      <c r="J80" s="6" t="s">
        <v>2965</v>
      </c>
      <c r="K80" s="8" t="str">
        <f aca="false">INDEX(Material_Master!$F$2:$F$1000,MATCH(C80,Material_Master!$A$2:$A$1000,0))</f>
        <v>sft</v>
      </c>
      <c r="L80" s="10" t="n">
        <f aca="false">INDEX(Material_Master!$Q$2:$Q$1000,MATCH(C80,Material_Master!$A$2:$A$1000,0))</f>
        <v>0</v>
      </c>
    </row>
    <row r="81" customFormat="false" ht="22.35" hidden="false" customHeight="false" outlineLevel="0" collapsed="false">
      <c r="A81" s="6" t="s">
        <v>444</v>
      </c>
      <c r="B81" s="8" t="str">
        <f aca="false">INDEX(Work_Items!$D$2:$D$300,MATCH(A81,Work_Items!$A$2:$A$300,0))</f>
        <v>Formwork to slabs &amp; beam soffits (steel shuttering, hired)</v>
      </c>
      <c r="C81" s="6" t="s">
        <v>455</v>
      </c>
      <c r="D81" s="8" t="str">
        <f aca="false">INDEX(Material_Master!$D$2:$D$1000,MATCH(C81,Material_Master!$A$2:$A$1000,0))</f>
        <v>Steel props / bamboo ballies (hire)</v>
      </c>
      <c r="E81" s="6" t="s">
        <v>2966</v>
      </c>
      <c r="F81" s="6"/>
      <c r="G81" s="6"/>
      <c r="H81" s="9" t="n">
        <f aca="false">Coefficients!$D$100</f>
        <v>0.083</v>
      </c>
      <c r="I81" s="6" t="s">
        <v>2967</v>
      </c>
      <c r="J81" s="6" t="s">
        <v>2965</v>
      </c>
      <c r="K81" s="8" t="str">
        <f aca="false">INDEX(Material_Master!$F$2:$F$1000,MATCH(C81,Material_Master!$A$2:$A$1000,0))</f>
        <v>Nos</v>
      </c>
      <c r="L81" s="10" t="n">
        <f aca="false">INDEX(Material_Master!$Q$2:$Q$1000,MATCH(C81,Material_Master!$A$2:$A$1000,0))</f>
        <v>0</v>
      </c>
    </row>
    <row r="82" customFormat="false" ht="22.35" hidden="false" customHeight="false" outlineLevel="0" collapsed="false">
      <c r="A82" s="6" t="s">
        <v>444</v>
      </c>
      <c r="B82" s="8" t="str">
        <f aca="false">INDEX(Work_Items!$D$2:$D$300,MATCH(A82,Work_Items!$A$2:$A$300,0))</f>
        <v>Formwork to slabs &amp; beam soffits (steel shuttering, hired)</v>
      </c>
      <c r="C82" s="6" t="s">
        <v>471</v>
      </c>
      <c r="D82" s="8" t="str">
        <f aca="false">INDEX(Material_Master!$D$2:$D$1000,MATCH(C82,Material_Master!$A$2:$A$1000,0))</f>
        <v>Shuttering release oil</v>
      </c>
      <c r="E82" s="6" t="s">
        <v>2968</v>
      </c>
      <c r="F82" s="6"/>
      <c r="G82" s="6"/>
      <c r="H82" s="9" t="n">
        <f aca="false">Coefficients!$D$102</f>
        <v>0.008</v>
      </c>
      <c r="I82" s="6" t="s">
        <v>2922</v>
      </c>
      <c r="J82" s="6"/>
      <c r="K82" s="8" t="str">
        <f aca="false">INDEX(Material_Master!$F$2:$F$1000,MATCH(C82,Material_Master!$A$2:$A$1000,0))</f>
        <v>L</v>
      </c>
      <c r="L82" s="10" t="n">
        <f aca="false">INDEX(Material_Master!$Q$2:$Q$1000,MATCH(C82,Material_Master!$A$2:$A$1000,0))</f>
        <v>0.05</v>
      </c>
    </row>
    <row r="83" customFormat="false" ht="22.35" hidden="false" customHeight="false" outlineLevel="0" collapsed="false">
      <c r="A83" s="6" t="s">
        <v>444</v>
      </c>
      <c r="B83" s="8" t="str">
        <f aca="false">INDEX(Work_Items!$D$2:$D$300,MATCH(A83,Work_Items!$A$2:$A$300,0))</f>
        <v>Formwork to slabs &amp; beam soffits (steel shuttering, hired)</v>
      </c>
      <c r="C83" s="6" t="s">
        <v>488</v>
      </c>
      <c r="D83" s="8" t="str">
        <f aca="false">INDEX(Material_Master!$D$2:$D$1000,MATCH(C83,Material_Master!$A$2:$A$1000,0))</f>
        <v>Polythene sheet over shuttering</v>
      </c>
      <c r="E83" s="6" t="s">
        <v>2924</v>
      </c>
      <c r="F83" s="6"/>
      <c r="G83" s="6"/>
      <c r="H83" s="9" t="n">
        <f aca="false">Coefficients!$D$54</f>
        <v>1.15</v>
      </c>
      <c r="I83" s="6" t="s">
        <v>2925</v>
      </c>
      <c r="J83" s="6" t="s">
        <v>2969</v>
      </c>
      <c r="K83" s="8" t="str">
        <f aca="false">INDEX(Material_Master!$F$2:$F$1000,MATCH(C83,Material_Master!$A$2:$A$1000,0))</f>
        <v>sft</v>
      </c>
      <c r="L83" s="10" t="n">
        <f aca="false">INDEX(Material_Master!$Q$2:$Q$1000,MATCH(C83,Material_Master!$A$2:$A$1000,0))</f>
        <v>0.05</v>
      </c>
    </row>
    <row r="84" customFormat="false" ht="22.35" hidden="false" customHeight="false" outlineLevel="0" collapsed="false">
      <c r="A84" s="6" t="s">
        <v>452</v>
      </c>
      <c r="B84" s="8" t="str">
        <f aca="false">INDEX(Work_Items!$D$2:$D$300,MATCH(A84,Work_Items!$A$2:$A$300,0))</f>
        <v>Formwork to columns, footings, lintels, stairs, tanks (ply/timber)</v>
      </c>
      <c r="C84" s="6" t="s">
        <v>446</v>
      </c>
      <c r="D84" s="8" t="str">
        <f aca="false">INDEX(Material_Master!$D$2:$D$1000,MATCH(C84,Material_Master!$A$2:$A$1000,0))</f>
        <v>Plywood (shuttering grade 12-18mm) / timber planks</v>
      </c>
      <c r="E84" s="6" t="s">
        <v>2970</v>
      </c>
      <c r="F84" s="6"/>
      <c r="G84" s="6"/>
      <c r="H84" s="9" t="n">
        <f aca="false">Coefficients!$D$104</f>
        <v>0.22</v>
      </c>
      <c r="I84" s="6" t="s">
        <v>2925</v>
      </c>
      <c r="J84" s="6" t="s">
        <v>2971</v>
      </c>
      <c r="K84" s="8" t="str">
        <f aca="false">INDEX(Material_Master!$F$2:$F$1000,MATCH(C84,Material_Master!$A$2:$A$1000,0))</f>
        <v>sft</v>
      </c>
      <c r="L84" s="10" t="n">
        <f aca="false">INDEX(Material_Master!$Q$2:$Q$1000,MATCH(C84,Material_Master!$A$2:$A$1000,0))</f>
        <v>0.1</v>
      </c>
    </row>
    <row r="85" customFormat="false" ht="22.35" hidden="false" customHeight="false" outlineLevel="0" collapsed="false">
      <c r="A85" s="6" t="s">
        <v>452</v>
      </c>
      <c r="B85" s="8" t="str">
        <f aca="false">INDEX(Work_Items!$D$2:$D$300,MATCH(A85,Work_Items!$A$2:$A$300,0))</f>
        <v>Formwork to columns, footings, lintels, stairs, tanks (ply/timber)</v>
      </c>
      <c r="C85" s="6" t="s">
        <v>460</v>
      </c>
      <c r="D85" s="8" t="str">
        <f aca="false">INDEX(Material_Master!$D$2:$D$1000,MATCH(C85,Material_Master!$A$2:$A$1000,0))</f>
        <v>Timber battens / scantlings</v>
      </c>
      <c r="E85" s="6" t="s">
        <v>2972</v>
      </c>
      <c r="F85" s="6"/>
      <c r="G85" s="6"/>
      <c r="H85" s="9" t="n">
        <f aca="false">Coefficients!$D$105</f>
        <v>0.02</v>
      </c>
      <c r="I85" s="6" t="s">
        <v>2942</v>
      </c>
      <c r="J85" s="6"/>
      <c r="K85" s="8" t="str">
        <f aca="false">INDEX(Material_Master!$F$2:$F$1000,MATCH(C85,Material_Master!$A$2:$A$1000,0))</f>
        <v>cft</v>
      </c>
      <c r="L85" s="10" t="n">
        <f aca="false">INDEX(Material_Master!$Q$2:$Q$1000,MATCH(C85,Material_Master!$A$2:$A$1000,0))</f>
        <v>0.15</v>
      </c>
    </row>
    <row r="86" customFormat="false" ht="22.35" hidden="false" customHeight="false" outlineLevel="0" collapsed="false">
      <c r="A86" s="6" t="s">
        <v>452</v>
      </c>
      <c r="B86" s="8" t="str">
        <f aca="false">INDEX(Work_Items!$D$2:$D$300,MATCH(A86,Work_Items!$A$2:$A$300,0))</f>
        <v>Formwork to columns, footings, lintels, stairs, tanks (ply/timber)</v>
      </c>
      <c r="C86" s="6" t="s">
        <v>466</v>
      </c>
      <c r="D86" s="8" t="str">
        <f aca="false">INDEX(Material_Master!$D$2:$D$1000,MATCH(C86,Material_Master!$A$2:$A$1000,0))</f>
        <v>Nails (assorted)</v>
      </c>
      <c r="E86" s="6" t="s">
        <v>2973</v>
      </c>
      <c r="F86" s="6"/>
      <c r="G86" s="6"/>
      <c r="H86" s="9" t="n">
        <f aca="false">Coefficients!$D$101</f>
        <v>0.01</v>
      </c>
      <c r="I86" s="6" t="s">
        <v>2944</v>
      </c>
      <c r="J86" s="6"/>
      <c r="K86" s="8" t="str">
        <f aca="false">INDEX(Material_Master!$F$2:$F$1000,MATCH(C86,Material_Master!$A$2:$A$1000,0))</f>
        <v>kg</v>
      </c>
      <c r="L86" s="10" t="n">
        <f aca="false">INDEX(Material_Master!$Q$2:$Q$1000,MATCH(C86,Material_Master!$A$2:$A$1000,0))</f>
        <v>0.05</v>
      </c>
    </row>
    <row r="87" customFormat="false" ht="22.35" hidden="false" customHeight="false" outlineLevel="0" collapsed="false">
      <c r="A87" s="6" t="s">
        <v>452</v>
      </c>
      <c r="B87" s="8" t="str">
        <f aca="false">INDEX(Work_Items!$D$2:$D$300,MATCH(A87,Work_Items!$A$2:$A$300,0))</f>
        <v>Formwork to columns, footings, lintels, stairs, tanks (ply/timber)</v>
      </c>
      <c r="C87" s="6" t="s">
        <v>471</v>
      </c>
      <c r="D87" s="8" t="str">
        <f aca="false">INDEX(Material_Master!$D$2:$D$1000,MATCH(C87,Material_Master!$A$2:$A$1000,0))</f>
        <v>Shuttering release oil</v>
      </c>
      <c r="E87" s="6" t="s">
        <v>2968</v>
      </c>
      <c r="F87" s="6"/>
      <c r="G87" s="6"/>
      <c r="H87" s="9" t="n">
        <f aca="false">Coefficients!$D$102</f>
        <v>0.008</v>
      </c>
      <c r="I87" s="6" t="s">
        <v>2922</v>
      </c>
      <c r="J87" s="6"/>
      <c r="K87" s="8" t="str">
        <f aca="false">INDEX(Material_Master!$F$2:$F$1000,MATCH(C87,Material_Master!$A$2:$A$1000,0))</f>
        <v>L</v>
      </c>
      <c r="L87" s="10" t="n">
        <f aca="false">INDEX(Material_Master!$Q$2:$Q$1000,MATCH(C87,Material_Master!$A$2:$A$1000,0))</f>
        <v>0.05</v>
      </c>
    </row>
    <row r="88" customFormat="false" ht="22.35" hidden="false" customHeight="false" outlineLevel="0" collapsed="false">
      <c r="A88" s="6" t="s">
        <v>2634</v>
      </c>
      <c r="B88" s="8" t="str">
        <f aca="false">INDEX(Work_Items!$D$2:$D$300,MATCH(A88,Work_Items!$A$2:$A$300,0))</f>
        <v>Brick masonry in stepped foundations 1:6 (below DPC)</v>
      </c>
      <c r="C88" s="6" t="s">
        <v>492</v>
      </c>
      <c r="D88" s="8" t="str">
        <f aca="false">INDEX(Material_Master!$D$2:$D$1000,MATCH(C88,Material_Master!$A$2:$A$1000,0))</f>
        <v>Burnt clay brick Class A ('Awwal') 9x4.5x3in nominal</v>
      </c>
      <c r="E88" s="6" t="s">
        <v>2974</v>
      </c>
      <c r="F88" s="6"/>
      <c r="G88" s="6"/>
      <c r="H88" s="9" t="n">
        <f aca="false">Coefficients!$D$17</f>
        <v>13.1023472787856</v>
      </c>
      <c r="I88" s="6" t="s">
        <v>2934</v>
      </c>
      <c r="J88" s="6"/>
      <c r="K88" s="8" t="str">
        <f aca="false">INDEX(Material_Master!$F$2:$F$1000,MATCH(C88,Material_Master!$A$2:$A$1000,0))</f>
        <v>Nos</v>
      </c>
      <c r="L88" s="10" t="n">
        <f aca="false">INDEX(Material_Master!$Q$2:$Q$1000,MATCH(C88,Material_Master!$A$2:$A$1000,0))</f>
        <v>0.05</v>
      </c>
    </row>
    <row r="89" customFormat="false" ht="22.35" hidden="false" customHeight="false" outlineLevel="0" collapsed="false">
      <c r="A89" s="6" t="s">
        <v>2634</v>
      </c>
      <c r="B89" s="8" t="str">
        <f aca="false">INDEX(Work_Items!$D$2:$D$300,MATCH(A89,Work_Items!$A$2:$A$300,0))</f>
        <v>Brick masonry in stepped foundations 1:6 (below DPC)</v>
      </c>
      <c r="C89" s="6" t="s">
        <v>211</v>
      </c>
      <c r="D89" s="8" t="str">
        <f aca="false">INDEX(Material_Master!$D$2:$D$1000,MATCH(C89,Material_Master!$A$2:$A$1000,0))</f>
        <v>Ordinary Portland Cement (OPC) - 50 kg bag</v>
      </c>
      <c r="E89" s="6" t="s">
        <v>2975</v>
      </c>
      <c r="F89" s="6" t="s">
        <v>2976</v>
      </c>
      <c r="G89" s="6" t="s">
        <v>2928</v>
      </c>
      <c r="H89" s="9" t="n">
        <f aca="false">Coefficients!$D$19*Mix_Design!$J$10</f>
        <v>0.0347991302242919</v>
      </c>
      <c r="I89" s="6" t="s">
        <v>2929</v>
      </c>
      <c r="J89" s="6"/>
      <c r="K89" s="8" t="str">
        <f aca="false">INDEX(Material_Master!$F$2:$F$1000,MATCH(C89,Material_Master!$A$2:$A$1000,0))</f>
        <v>bag</v>
      </c>
      <c r="L89" s="10" t="n">
        <f aca="false">INDEX(Material_Master!$Q$2:$Q$1000,MATCH(C89,Material_Master!$A$2:$A$1000,0))</f>
        <v>0.02</v>
      </c>
    </row>
    <row r="90" customFormat="false" ht="22.35" hidden="false" customHeight="false" outlineLevel="0" collapsed="false">
      <c r="A90" s="6" t="s">
        <v>2634</v>
      </c>
      <c r="B90" s="8" t="str">
        <f aca="false">INDEX(Work_Items!$D$2:$D$300,MATCH(A90,Work_Items!$A$2:$A$300,0))</f>
        <v>Brick masonry in stepped foundations 1:6 (below DPC)</v>
      </c>
      <c r="C90" s="6" t="s">
        <v>258</v>
      </c>
      <c r="D90" s="8" t="str">
        <f aca="false">INDEX(Material_Master!$D$2:$D$1000,MATCH(C90,Material_Master!$A$2:$A$1000,0))</f>
        <v>Sand for masonry &amp; plaster</v>
      </c>
      <c r="E90" s="6" t="s">
        <v>2975</v>
      </c>
      <c r="F90" s="6" t="s">
        <v>2976</v>
      </c>
      <c r="G90" s="6" t="s">
        <v>2930</v>
      </c>
      <c r="H90" s="9" t="n">
        <f aca="false">Coefficients!$D$19*Mix_Design!$K$10</f>
        <v>0.256025175860792</v>
      </c>
      <c r="I90" s="6" t="s">
        <v>2918</v>
      </c>
      <c r="J90" s="6"/>
      <c r="K90" s="8" t="str">
        <f aca="false">INDEX(Material_Master!$F$2:$F$1000,MATCH(C90,Material_Master!$A$2:$A$1000,0))</f>
        <v>cft</v>
      </c>
      <c r="L90" s="10" t="n">
        <f aca="false">INDEX(Material_Master!$Q$2:$Q$1000,MATCH(C90,Material_Master!$A$2:$A$1000,0))</f>
        <v>0.1</v>
      </c>
    </row>
    <row r="91" customFormat="false" ht="22.35" hidden="false" customHeight="false" outlineLevel="0" collapsed="false">
      <c r="A91" s="6" t="s">
        <v>2641</v>
      </c>
      <c r="B91" s="8" t="str">
        <f aca="false">INDEX(Work_Items!$D$2:$D$300,MATCH(A91,Work_Items!$A$2:$A$300,0))</f>
        <v>Brick masonry 9in in superstructure 1:6</v>
      </c>
      <c r="C91" s="6" t="s">
        <v>492</v>
      </c>
      <c r="D91" s="8" t="str">
        <f aca="false">INDEX(Material_Master!$D$2:$D$1000,MATCH(C91,Material_Master!$A$2:$A$1000,0))</f>
        <v>Burnt clay brick Class A ('Awwal') 9x4.5x3in nominal</v>
      </c>
      <c r="E91" s="6" t="s">
        <v>2974</v>
      </c>
      <c r="F91" s="6"/>
      <c r="G91" s="6"/>
      <c r="H91" s="9" t="n">
        <f aca="false">Coefficients!$D$17</f>
        <v>13.1023472787856</v>
      </c>
      <c r="I91" s="6" t="s">
        <v>2934</v>
      </c>
      <c r="J91" s="6"/>
      <c r="K91" s="8" t="str">
        <f aca="false">INDEX(Material_Master!$F$2:$F$1000,MATCH(C91,Material_Master!$A$2:$A$1000,0))</f>
        <v>Nos</v>
      </c>
      <c r="L91" s="10" t="n">
        <f aca="false">INDEX(Material_Master!$Q$2:$Q$1000,MATCH(C91,Material_Master!$A$2:$A$1000,0))</f>
        <v>0.05</v>
      </c>
    </row>
    <row r="92" customFormat="false" ht="22.35" hidden="false" customHeight="false" outlineLevel="0" collapsed="false">
      <c r="A92" s="6" t="s">
        <v>2641</v>
      </c>
      <c r="B92" s="8" t="str">
        <f aca="false">INDEX(Work_Items!$D$2:$D$300,MATCH(A92,Work_Items!$A$2:$A$300,0))</f>
        <v>Brick masonry 9in in superstructure 1:6</v>
      </c>
      <c r="C92" s="6" t="s">
        <v>211</v>
      </c>
      <c r="D92" s="8" t="str">
        <f aca="false">INDEX(Material_Master!$D$2:$D$1000,MATCH(C92,Material_Master!$A$2:$A$1000,0))</f>
        <v>Ordinary Portland Cement (OPC) - 50 kg bag</v>
      </c>
      <c r="E92" s="6" t="s">
        <v>2975</v>
      </c>
      <c r="F92" s="6" t="s">
        <v>2976</v>
      </c>
      <c r="G92" s="6" t="s">
        <v>2928</v>
      </c>
      <c r="H92" s="9" t="n">
        <f aca="false">Coefficients!$D$19*Mix_Design!$J$10</f>
        <v>0.0347991302242919</v>
      </c>
      <c r="I92" s="6" t="s">
        <v>2929</v>
      </c>
      <c r="J92" s="6"/>
      <c r="K92" s="8" t="str">
        <f aca="false">INDEX(Material_Master!$F$2:$F$1000,MATCH(C92,Material_Master!$A$2:$A$1000,0))</f>
        <v>bag</v>
      </c>
      <c r="L92" s="10" t="n">
        <f aca="false">INDEX(Material_Master!$Q$2:$Q$1000,MATCH(C92,Material_Master!$A$2:$A$1000,0))</f>
        <v>0.02</v>
      </c>
    </row>
    <row r="93" customFormat="false" ht="22.35" hidden="false" customHeight="false" outlineLevel="0" collapsed="false">
      <c r="A93" s="6" t="s">
        <v>2641</v>
      </c>
      <c r="B93" s="8" t="str">
        <f aca="false">INDEX(Work_Items!$D$2:$D$300,MATCH(A93,Work_Items!$A$2:$A$300,0))</f>
        <v>Brick masonry 9in in superstructure 1:6</v>
      </c>
      <c r="C93" s="6" t="s">
        <v>258</v>
      </c>
      <c r="D93" s="8" t="str">
        <f aca="false">INDEX(Material_Master!$D$2:$D$1000,MATCH(C93,Material_Master!$A$2:$A$1000,0))</f>
        <v>Sand for masonry &amp; plaster</v>
      </c>
      <c r="E93" s="6" t="s">
        <v>2975</v>
      </c>
      <c r="F93" s="6" t="s">
        <v>2976</v>
      </c>
      <c r="G93" s="6" t="s">
        <v>2930</v>
      </c>
      <c r="H93" s="9" t="n">
        <f aca="false">Coefficients!$D$19*Mix_Design!$K$10</f>
        <v>0.256025175860792</v>
      </c>
      <c r="I93" s="6" t="s">
        <v>2918</v>
      </c>
      <c r="J93" s="6"/>
      <c r="K93" s="8" t="str">
        <f aca="false">INDEX(Material_Master!$F$2:$F$1000,MATCH(C93,Material_Master!$A$2:$A$1000,0))</f>
        <v>cft</v>
      </c>
      <c r="L93" s="10" t="n">
        <f aca="false">INDEX(Material_Master!$Q$2:$Q$1000,MATCH(C93,Material_Master!$A$2:$A$1000,0))</f>
        <v>0.1</v>
      </c>
    </row>
    <row r="94" customFormat="false" ht="22.35" hidden="false" customHeight="false" outlineLevel="0" collapsed="false">
      <c r="A94" s="6" t="s">
        <v>2647</v>
      </c>
      <c r="B94" s="8" t="str">
        <f aca="false">INDEX(Work_Items!$D$2:$D$300,MATCH(A94,Work_Items!$A$2:$A$300,0))</f>
        <v>Brick masonry 4.5in partitions 1:4</v>
      </c>
      <c r="C94" s="6" t="s">
        <v>492</v>
      </c>
      <c r="D94" s="8" t="str">
        <f aca="false">INDEX(Material_Master!$D$2:$D$1000,MATCH(C94,Material_Master!$A$2:$A$1000,0))</f>
        <v>Burnt clay brick Class A ('Awwal') 9x4.5x3in nominal</v>
      </c>
      <c r="E94" s="6" t="s">
        <v>2977</v>
      </c>
      <c r="F94" s="6"/>
      <c r="G94" s="6"/>
      <c r="H94" s="9" t="n">
        <f aca="false">Coefficients!$D$22</f>
        <v>4.91338022954461</v>
      </c>
      <c r="I94" s="6" t="s">
        <v>2967</v>
      </c>
      <c r="J94" s="6"/>
      <c r="K94" s="8" t="str">
        <f aca="false">INDEX(Material_Master!$F$2:$F$1000,MATCH(C94,Material_Master!$A$2:$A$1000,0))</f>
        <v>Nos</v>
      </c>
      <c r="L94" s="10" t="n">
        <f aca="false">INDEX(Material_Master!$Q$2:$Q$1000,MATCH(C94,Material_Master!$A$2:$A$1000,0))</f>
        <v>0.05</v>
      </c>
    </row>
    <row r="95" customFormat="false" ht="22.35" hidden="false" customHeight="false" outlineLevel="0" collapsed="false">
      <c r="A95" s="6" t="s">
        <v>2647</v>
      </c>
      <c r="B95" s="8" t="str">
        <f aca="false">INDEX(Work_Items!$D$2:$D$300,MATCH(A95,Work_Items!$A$2:$A$300,0))</f>
        <v>Brick masonry 4.5in partitions 1:4</v>
      </c>
      <c r="C95" s="6" t="s">
        <v>211</v>
      </c>
      <c r="D95" s="8" t="str">
        <f aca="false">INDEX(Material_Master!$D$2:$D$1000,MATCH(C95,Material_Master!$A$2:$A$1000,0))</f>
        <v>Ordinary Portland Cement (OPC) - 50 kg bag</v>
      </c>
      <c r="E95" s="6" t="s">
        <v>2978</v>
      </c>
      <c r="F95" s="6" t="s">
        <v>2979</v>
      </c>
      <c r="G95" s="6" t="s">
        <v>2928</v>
      </c>
      <c r="H95" s="9" t="n">
        <f aca="false">Coefficients!$D$23*Mix_Design!$J$8</f>
        <v>0.0182695433677533</v>
      </c>
      <c r="I95" s="6" t="s">
        <v>2941</v>
      </c>
      <c r="J95" s="6"/>
      <c r="K95" s="8" t="str">
        <f aca="false">INDEX(Material_Master!$F$2:$F$1000,MATCH(C95,Material_Master!$A$2:$A$1000,0))</f>
        <v>bag</v>
      </c>
      <c r="L95" s="10" t="n">
        <f aca="false">INDEX(Material_Master!$Q$2:$Q$1000,MATCH(C95,Material_Master!$A$2:$A$1000,0))</f>
        <v>0.02</v>
      </c>
    </row>
    <row r="96" customFormat="false" ht="22.35" hidden="false" customHeight="false" outlineLevel="0" collapsed="false">
      <c r="A96" s="6" t="s">
        <v>2647</v>
      </c>
      <c r="B96" s="8" t="str">
        <f aca="false">INDEX(Work_Items!$D$2:$D$300,MATCH(A96,Work_Items!$A$2:$A$300,0))</f>
        <v>Brick masonry 4.5in partitions 1:4</v>
      </c>
      <c r="C96" s="6" t="s">
        <v>258</v>
      </c>
      <c r="D96" s="8" t="str">
        <f aca="false">INDEX(Material_Master!$D$2:$D$1000,MATCH(C96,Material_Master!$A$2:$A$1000,0))</f>
        <v>Sand for masonry &amp; plaster</v>
      </c>
      <c r="E96" s="6" t="s">
        <v>2978</v>
      </c>
      <c r="F96" s="6" t="s">
        <v>2979</v>
      </c>
      <c r="G96" s="6" t="s">
        <v>2930</v>
      </c>
      <c r="H96" s="9" t="n">
        <f aca="false">Coefficients!$D$23*Mix_Design!$K$8</f>
        <v>0.0896088115512773</v>
      </c>
      <c r="I96" s="6" t="s">
        <v>2942</v>
      </c>
      <c r="J96" s="6"/>
      <c r="K96" s="8" t="str">
        <f aca="false">INDEX(Material_Master!$F$2:$F$1000,MATCH(C96,Material_Master!$A$2:$A$1000,0))</f>
        <v>cft</v>
      </c>
      <c r="L96" s="10" t="n">
        <f aca="false">INDEX(Material_Master!$Q$2:$Q$1000,MATCH(C96,Material_Master!$A$2:$A$1000,0))</f>
        <v>0.1</v>
      </c>
    </row>
    <row r="97" customFormat="false" ht="22.35" hidden="false" customHeight="false" outlineLevel="0" collapsed="false">
      <c r="A97" s="6" t="s">
        <v>2652</v>
      </c>
      <c r="B97" s="8" t="str">
        <f aca="false">INDEX(Work_Items!$D$2:$D$300,MATCH(A97,Work_Items!$A$2:$A$300,0))</f>
        <v>Parapet walls 9in / 4.5in</v>
      </c>
      <c r="C97" s="6" t="s">
        <v>492</v>
      </c>
      <c r="D97" s="8" t="str">
        <f aca="false">INDEX(Material_Master!$D$2:$D$1000,MATCH(C97,Material_Master!$A$2:$A$1000,0))</f>
        <v>Burnt clay brick Class A ('Awwal') 9x4.5x3in nominal</v>
      </c>
      <c r="E97" s="6" t="s">
        <v>2974</v>
      </c>
      <c r="F97" s="6"/>
      <c r="G97" s="6"/>
      <c r="H97" s="9" t="n">
        <f aca="false">Coefficients!$D$17</f>
        <v>13.1023472787856</v>
      </c>
      <c r="I97" s="6" t="s">
        <v>2934</v>
      </c>
      <c r="J97" s="6"/>
      <c r="K97" s="8" t="str">
        <f aca="false">INDEX(Material_Master!$F$2:$F$1000,MATCH(C97,Material_Master!$A$2:$A$1000,0))</f>
        <v>Nos</v>
      </c>
      <c r="L97" s="10" t="n">
        <f aca="false">INDEX(Material_Master!$Q$2:$Q$1000,MATCH(C97,Material_Master!$A$2:$A$1000,0))</f>
        <v>0.05</v>
      </c>
    </row>
    <row r="98" customFormat="false" ht="22.35" hidden="false" customHeight="false" outlineLevel="0" collapsed="false">
      <c r="A98" s="6" t="s">
        <v>2652</v>
      </c>
      <c r="B98" s="8" t="str">
        <f aca="false">INDEX(Work_Items!$D$2:$D$300,MATCH(A98,Work_Items!$A$2:$A$300,0))</f>
        <v>Parapet walls 9in / 4.5in</v>
      </c>
      <c r="C98" s="6" t="s">
        <v>211</v>
      </c>
      <c r="D98" s="8" t="str">
        <f aca="false">INDEX(Material_Master!$D$2:$D$1000,MATCH(C98,Material_Master!$A$2:$A$1000,0))</f>
        <v>Ordinary Portland Cement (OPC) - 50 kg bag</v>
      </c>
      <c r="E98" s="6" t="s">
        <v>2975</v>
      </c>
      <c r="F98" s="6" t="s">
        <v>2976</v>
      </c>
      <c r="G98" s="6" t="s">
        <v>2928</v>
      </c>
      <c r="H98" s="9" t="n">
        <f aca="false">Coefficients!$D$19*Mix_Design!$J$10</f>
        <v>0.0347991302242919</v>
      </c>
      <c r="I98" s="6" t="s">
        <v>2929</v>
      </c>
      <c r="J98" s="6"/>
      <c r="K98" s="8" t="str">
        <f aca="false">INDEX(Material_Master!$F$2:$F$1000,MATCH(C98,Material_Master!$A$2:$A$1000,0))</f>
        <v>bag</v>
      </c>
      <c r="L98" s="10" t="n">
        <f aca="false">INDEX(Material_Master!$Q$2:$Q$1000,MATCH(C98,Material_Master!$A$2:$A$1000,0))</f>
        <v>0.02</v>
      </c>
    </row>
    <row r="99" customFormat="false" ht="22.35" hidden="false" customHeight="false" outlineLevel="0" collapsed="false">
      <c r="A99" s="6" t="s">
        <v>2652</v>
      </c>
      <c r="B99" s="8" t="str">
        <f aca="false">INDEX(Work_Items!$D$2:$D$300,MATCH(A99,Work_Items!$A$2:$A$300,0))</f>
        <v>Parapet walls 9in / 4.5in</v>
      </c>
      <c r="C99" s="6" t="s">
        <v>258</v>
      </c>
      <c r="D99" s="8" t="str">
        <f aca="false">INDEX(Material_Master!$D$2:$D$1000,MATCH(C99,Material_Master!$A$2:$A$1000,0))</f>
        <v>Sand for masonry &amp; plaster</v>
      </c>
      <c r="E99" s="6" t="s">
        <v>2975</v>
      </c>
      <c r="F99" s="6" t="s">
        <v>2976</v>
      </c>
      <c r="G99" s="6" t="s">
        <v>2930</v>
      </c>
      <c r="H99" s="9" t="n">
        <f aca="false">Coefficients!$D$19*Mix_Design!$K$10</f>
        <v>0.256025175860792</v>
      </c>
      <c r="I99" s="6" t="s">
        <v>2918</v>
      </c>
      <c r="J99" s="6"/>
      <c r="K99" s="8" t="str">
        <f aca="false">INDEX(Material_Master!$F$2:$F$1000,MATCH(C99,Material_Master!$A$2:$A$1000,0))</f>
        <v>cft</v>
      </c>
      <c r="L99" s="10" t="n">
        <f aca="false">INDEX(Material_Master!$Q$2:$Q$1000,MATCH(C99,Material_Master!$A$2:$A$1000,0))</f>
        <v>0.1</v>
      </c>
    </row>
    <row r="100" customFormat="false" ht="22.35" hidden="false" customHeight="false" outlineLevel="0" collapsed="false">
      <c r="A100" s="6" t="s">
        <v>2641</v>
      </c>
      <c r="B100" s="8" t="str">
        <f aca="false">INDEX(Work_Items!$D$2:$D$300,MATCH(A100,Work_Items!$A$2:$A$300,0))</f>
        <v>Brick masonry 9in in superstructure 1:6</v>
      </c>
      <c r="C100" s="6" t="s">
        <v>586</v>
      </c>
      <c r="D100" s="8" t="str">
        <f aca="false">INDEX(Material_Master!$D$2:$D$1000,MATCH(C100,Material_Master!$A$2:$A$1000,0))</f>
        <v>Galvanised chicken wire mesh strip (6-9in)</v>
      </c>
      <c r="E100" s="6" t="s">
        <v>2980</v>
      </c>
      <c r="F100" s="6"/>
      <c r="G100" s="6"/>
      <c r="H100" s="9" t="n">
        <f aca="false">Coefficients!$D$31</f>
        <v>0.1</v>
      </c>
      <c r="I100" s="6" t="s">
        <v>2981</v>
      </c>
      <c r="J100" s="6" t="s">
        <v>2982</v>
      </c>
      <c r="K100" s="8" t="str">
        <f aca="false">INDEX(Material_Master!$F$2:$F$1000,MATCH(C100,Material_Master!$A$2:$A$1000,0))</f>
        <v>rft</v>
      </c>
      <c r="L100" s="10" t="n">
        <f aca="false">INDEX(Material_Master!$Q$2:$Q$1000,MATCH(C100,Material_Master!$A$2:$A$1000,0))</f>
        <v>0.05</v>
      </c>
    </row>
    <row r="101" customFormat="false" ht="22.35" hidden="false" customHeight="false" outlineLevel="0" collapsed="false">
      <c r="A101" s="6" t="s">
        <v>512</v>
      </c>
      <c r="B101" s="8" t="str">
        <f aca="false">INDEX(Work_Items!$D$2:$D$300,MATCH(A101,Work_Items!$A$2:$A$300,0))</f>
        <v>Brick soling (flat) under GF floors</v>
      </c>
      <c r="C101" s="6" t="s">
        <v>506</v>
      </c>
      <c r="D101" s="8" t="str">
        <f aca="false">INDEX(Material_Master!$D$2:$D$1000,MATCH(C101,Material_Master!$A$2:$A$1000,0))</f>
        <v>Burnt clay brick Class B ('Doem') / over-burnt</v>
      </c>
      <c r="E101" s="6" t="s">
        <v>2983</v>
      </c>
      <c r="F101" s="6"/>
      <c r="G101" s="6"/>
      <c r="H101" s="9" t="n">
        <f aca="false">Coefficients!$D$24</f>
        <v>3.41206960385043</v>
      </c>
      <c r="I101" s="6" t="s">
        <v>2967</v>
      </c>
      <c r="J101" s="6" t="s">
        <v>2984</v>
      </c>
      <c r="K101" s="8" t="str">
        <f aca="false">INDEX(Material_Master!$F$2:$F$1000,MATCH(C101,Material_Master!$A$2:$A$1000,0))</f>
        <v>Nos</v>
      </c>
      <c r="L101" s="10" t="n">
        <f aca="false">INDEX(Material_Master!$Q$2:$Q$1000,MATCH(C101,Material_Master!$A$2:$A$1000,0))</f>
        <v>0.05</v>
      </c>
    </row>
    <row r="102" customFormat="false" ht="15" hidden="false" customHeight="false" outlineLevel="0" collapsed="false">
      <c r="A102" s="6" t="s">
        <v>512</v>
      </c>
      <c r="B102" s="8" t="str">
        <f aca="false">INDEX(Work_Items!$D$2:$D$300,MATCH(A102,Work_Items!$A$2:$A$300,0))</f>
        <v>Brick soling (flat) under GF floors</v>
      </c>
      <c r="C102" s="6" t="s">
        <v>258</v>
      </c>
      <c r="D102" s="8" t="str">
        <f aca="false">INDEX(Material_Master!$D$2:$D$1000,MATCH(C102,Material_Master!$A$2:$A$1000,0))</f>
        <v>Sand for masonry &amp; plaster</v>
      </c>
      <c r="E102" s="6" t="s">
        <v>2985</v>
      </c>
      <c r="F102" s="6"/>
      <c r="G102" s="6"/>
      <c r="H102" s="9" t="n">
        <f aca="false">Coefficients!$D$25</f>
        <v>0.03</v>
      </c>
      <c r="I102" s="6" t="s">
        <v>2942</v>
      </c>
      <c r="J102" s="6"/>
      <c r="K102" s="8" t="str">
        <f aca="false">INDEX(Material_Master!$F$2:$F$1000,MATCH(C102,Material_Master!$A$2:$A$1000,0))</f>
        <v>cft</v>
      </c>
      <c r="L102" s="10" t="n">
        <f aca="false">INDEX(Material_Master!$Q$2:$Q$1000,MATCH(C102,Material_Master!$A$2:$A$1000,0))</f>
        <v>0.1</v>
      </c>
    </row>
    <row r="103" customFormat="false" ht="15" hidden="false" customHeight="false" outlineLevel="0" collapsed="false">
      <c r="A103" s="6" t="s">
        <v>533</v>
      </c>
      <c r="B103" s="8" t="str">
        <f aca="false">INDEX(Work_Items!$D$2:$D$300,MATCH(A103,Work_Items!$A$2:$A$300,0))</f>
        <v>Concrete block masonry 8in (alternative)</v>
      </c>
      <c r="C103" s="6" t="s">
        <v>525</v>
      </c>
      <c r="D103" s="8" t="str">
        <f aca="false">INDEX(Material_Master!$D$2:$D$1000,MATCH(C103,Material_Master!$A$2:$A$1000,0))</f>
        <v>Hollow concrete block 8x8x16in (and 6in/4in)</v>
      </c>
      <c r="E103" s="6" t="s">
        <v>2986</v>
      </c>
      <c r="F103" s="6"/>
      <c r="G103" s="6"/>
      <c r="H103" s="9" t="n">
        <f aca="false">Coefficients!$D$29</f>
        <v>1.05001709012191</v>
      </c>
      <c r="I103" s="6" t="s">
        <v>2967</v>
      </c>
      <c r="J103" s="6"/>
      <c r="K103" s="8" t="str">
        <f aca="false">INDEX(Material_Master!$F$2:$F$1000,MATCH(C103,Material_Master!$A$2:$A$1000,0))</f>
        <v>Nos</v>
      </c>
      <c r="L103" s="10" t="n">
        <f aca="false">INDEX(Material_Master!$Q$2:$Q$1000,MATCH(C103,Material_Master!$A$2:$A$1000,0))</f>
        <v>0.03</v>
      </c>
    </row>
    <row r="104" customFormat="false" ht="22.35" hidden="false" customHeight="false" outlineLevel="0" collapsed="false">
      <c r="A104" s="6" t="s">
        <v>533</v>
      </c>
      <c r="B104" s="8" t="str">
        <f aca="false">INDEX(Work_Items!$D$2:$D$300,MATCH(A104,Work_Items!$A$2:$A$300,0))</f>
        <v>Concrete block masonry 8in (alternative)</v>
      </c>
      <c r="C104" s="6" t="s">
        <v>211</v>
      </c>
      <c r="D104" s="8" t="str">
        <f aca="false">INDEX(Material_Master!$D$2:$D$1000,MATCH(C104,Material_Master!$A$2:$A$1000,0))</f>
        <v>Ordinary Portland Cement (OPC) - 50 kg bag</v>
      </c>
      <c r="E104" s="6" t="s">
        <v>2987</v>
      </c>
      <c r="F104" s="6" t="s">
        <v>2979</v>
      </c>
      <c r="G104" s="6" t="s">
        <v>2928</v>
      </c>
      <c r="H104" s="9" t="n">
        <f aca="false">Coefficients!$D$30*Mix_Design!$J$8</f>
        <v>0.00542323734875279</v>
      </c>
      <c r="I104" s="6" t="s">
        <v>2941</v>
      </c>
      <c r="J104" s="6"/>
      <c r="K104" s="8" t="str">
        <f aca="false">INDEX(Material_Master!$F$2:$F$1000,MATCH(C104,Material_Master!$A$2:$A$1000,0))</f>
        <v>bag</v>
      </c>
      <c r="L104" s="10" t="n">
        <f aca="false">INDEX(Material_Master!$Q$2:$Q$1000,MATCH(C104,Material_Master!$A$2:$A$1000,0))</f>
        <v>0.02</v>
      </c>
    </row>
    <row r="105" customFormat="false" ht="22.35" hidden="false" customHeight="false" outlineLevel="0" collapsed="false">
      <c r="A105" s="6" t="s">
        <v>533</v>
      </c>
      <c r="B105" s="8" t="str">
        <f aca="false">INDEX(Work_Items!$D$2:$D$300,MATCH(A105,Work_Items!$A$2:$A$300,0))</f>
        <v>Concrete block masonry 8in (alternative)</v>
      </c>
      <c r="C105" s="6" t="s">
        <v>258</v>
      </c>
      <c r="D105" s="8" t="str">
        <f aca="false">INDEX(Material_Master!$D$2:$D$1000,MATCH(C105,Material_Master!$A$2:$A$1000,0))</f>
        <v>Sand for masonry &amp; plaster</v>
      </c>
      <c r="E105" s="6" t="s">
        <v>2987</v>
      </c>
      <c r="F105" s="6" t="s">
        <v>2979</v>
      </c>
      <c r="G105" s="6" t="s">
        <v>2930</v>
      </c>
      <c r="H105" s="9" t="n">
        <f aca="false">Coefficients!$D$30*Mix_Design!$K$8</f>
        <v>0.0266</v>
      </c>
      <c r="I105" s="6" t="s">
        <v>2942</v>
      </c>
      <c r="J105" s="6"/>
      <c r="K105" s="8" t="str">
        <f aca="false">INDEX(Material_Master!$F$2:$F$1000,MATCH(C105,Material_Master!$A$2:$A$1000,0))</f>
        <v>cft</v>
      </c>
      <c r="L105" s="10" t="n">
        <f aca="false">INDEX(Material_Master!$Q$2:$Q$1000,MATCH(C105,Material_Master!$A$2:$A$1000,0))</f>
        <v>0.1</v>
      </c>
    </row>
    <row r="106" customFormat="false" ht="15" hidden="false" customHeight="false" outlineLevel="0" collapsed="false">
      <c r="A106" s="6" t="s">
        <v>2662</v>
      </c>
      <c r="B106" s="8" t="str">
        <f aca="false">INDEX(Work_Items!$D$2:$D$300,MATCH(A106,Work_Items!$A$2:$A$300,0))</f>
        <v>Internal cement plaster 1/2in (walls)</v>
      </c>
      <c r="C106" s="6" t="s">
        <v>211</v>
      </c>
      <c r="D106" s="8" t="str">
        <f aca="false">INDEX(Material_Master!$D$2:$D$1000,MATCH(C106,Material_Master!$A$2:$A$1000,0))</f>
        <v>Ordinary Portland Cement (OPC) - 50 kg bag</v>
      </c>
      <c r="E106" s="6" t="s">
        <v>2988</v>
      </c>
      <c r="F106" s="6" t="s">
        <v>2976</v>
      </c>
      <c r="G106" s="6" t="s">
        <v>2928</v>
      </c>
      <c r="H106" s="9" t="n">
        <f aca="false">Coefficients!$D$36*Mix_Design!$J$10</f>
        <v>0.00774748192678969</v>
      </c>
      <c r="I106" s="6" t="s">
        <v>2941</v>
      </c>
      <c r="J106" s="6"/>
      <c r="K106" s="8" t="str">
        <f aca="false">INDEX(Material_Master!$F$2:$F$1000,MATCH(C106,Material_Master!$A$2:$A$1000,0))</f>
        <v>bag</v>
      </c>
      <c r="L106" s="10" t="n">
        <f aca="false">INDEX(Material_Master!$Q$2:$Q$1000,MATCH(C106,Material_Master!$A$2:$A$1000,0))</f>
        <v>0.02</v>
      </c>
    </row>
    <row r="107" customFormat="false" ht="15" hidden="false" customHeight="false" outlineLevel="0" collapsed="false">
      <c r="A107" s="6" t="s">
        <v>2662</v>
      </c>
      <c r="B107" s="8" t="str">
        <f aca="false">INDEX(Work_Items!$D$2:$D$300,MATCH(A107,Work_Items!$A$2:$A$300,0))</f>
        <v>Internal cement plaster 1/2in (walls)</v>
      </c>
      <c r="C107" s="6" t="s">
        <v>258</v>
      </c>
      <c r="D107" s="8" t="str">
        <f aca="false">INDEX(Material_Master!$D$2:$D$1000,MATCH(C107,Material_Master!$A$2:$A$1000,0))</f>
        <v>Sand for masonry &amp; plaster</v>
      </c>
      <c r="E107" s="6" t="s">
        <v>2988</v>
      </c>
      <c r="F107" s="6" t="s">
        <v>2976</v>
      </c>
      <c r="G107" s="6" t="s">
        <v>2930</v>
      </c>
      <c r="H107" s="9" t="n">
        <f aca="false">Coefficients!$D$36*Mix_Design!$K$10</f>
        <v>0.057</v>
      </c>
      <c r="I107" s="6" t="s">
        <v>2942</v>
      </c>
      <c r="J107" s="6"/>
      <c r="K107" s="8" t="str">
        <f aca="false">INDEX(Material_Master!$F$2:$F$1000,MATCH(C107,Material_Master!$A$2:$A$1000,0))</f>
        <v>cft</v>
      </c>
      <c r="L107" s="10" t="n">
        <f aca="false">INDEX(Material_Master!$Q$2:$Q$1000,MATCH(C107,Material_Master!$A$2:$A$1000,0))</f>
        <v>0.1</v>
      </c>
    </row>
    <row r="108" customFormat="false" ht="15" hidden="false" customHeight="false" outlineLevel="0" collapsed="false">
      <c r="A108" s="6" t="s">
        <v>2662</v>
      </c>
      <c r="B108" s="8" t="str">
        <f aca="false">INDEX(Work_Items!$D$2:$D$300,MATCH(A108,Work_Items!$A$2:$A$300,0))</f>
        <v>Internal cement plaster 1/2in (walls)</v>
      </c>
      <c r="C108" s="6" t="s">
        <v>714</v>
      </c>
      <c r="D108" s="8" t="str">
        <f aca="false">INDEX(Material_Master!$D$2:$D$1000,MATCH(C108,Material_Master!$A$2:$A$1000,0))</f>
        <v>Corner beads (PVC/GI)</v>
      </c>
      <c r="E108" s="6" t="s">
        <v>2989</v>
      </c>
      <c r="F108" s="6"/>
      <c r="G108" s="6"/>
      <c r="H108" s="9" t="n">
        <f aca="false">Coefficients!$D$39</f>
        <v>0.05</v>
      </c>
      <c r="I108" s="6" t="s">
        <v>2990</v>
      </c>
      <c r="J108" s="6" t="s">
        <v>2935</v>
      </c>
      <c r="K108" s="8" t="str">
        <f aca="false">INDEX(Material_Master!$F$2:$F$1000,MATCH(C108,Material_Master!$A$2:$A$1000,0))</f>
        <v>rft</v>
      </c>
      <c r="L108" s="10" t="n">
        <f aca="false">INDEX(Material_Master!$Q$2:$Q$1000,MATCH(C108,Material_Master!$A$2:$A$1000,0))</f>
        <v>0.05</v>
      </c>
    </row>
    <row r="109" customFormat="false" ht="15" hidden="false" customHeight="false" outlineLevel="0" collapsed="false">
      <c r="A109" s="6" t="s">
        <v>2669</v>
      </c>
      <c r="B109" s="8" t="str">
        <f aca="false">INDEX(Work_Items!$D$2:$D$300,MATCH(A109,Work_Items!$A$2:$A$300,0))</f>
        <v>External cement plaster 3/4in</v>
      </c>
      <c r="C109" s="6" t="s">
        <v>211</v>
      </c>
      <c r="D109" s="8" t="str">
        <f aca="false">INDEX(Material_Master!$D$2:$D$1000,MATCH(C109,Material_Master!$A$2:$A$1000,0))</f>
        <v>Ordinary Portland Cement (OPC) - 50 kg bag</v>
      </c>
      <c r="E109" s="6" t="s">
        <v>2991</v>
      </c>
      <c r="F109" s="6" t="s">
        <v>2979</v>
      </c>
      <c r="G109" s="6" t="s">
        <v>2928</v>
      </c>
      <c r="H109" s="9" t="n">
        <f aca="false">Coefficients!$D$37*Mix_Design!$J$8</f>
        <v>0.0162697120462584</v>
      </c>
      <c r="I109" s="6" t="s">
        <v>2941</v>
      </c>
      <c r="J109" s="6"/>
      <c r="K109" s="8" t="str">
        <f aca="false">INDEX(Material_Master!$F$2:$F$1000,MATCH(C109,Material_Master!$A$2:$A$1000,0))</f>
        <v>bag</v>
      </c>
      <c r="L109" s="10" t="n">
        <f aca="false">INDEX(Material_Master!$Q$2:$Q$1000,MATCH(C109,Material_Master!$A$2:$A$1000,0))</f>
        <v>0.02</v>
      </c>
    </row>
    <row r="110" customFormat="false" ht="15" hidden="false" customHeight="false" outlineLevel="0" collapsed="false">
      <c r="A110" s="6" t="s">
        <v>2669</v>
      </c>
      <c r="B110" s="8" t="str">
        <f aca="false">INDEX(Work_Items!$D$2:$D$300,MATCH(A110,Work_Items!$A$2:$A$300,0))</f>
        <v>External cement plaster 3/4in</v>
      </c>
      <c r="C110" s="6" t="s">
        <v>258</v>
      </c>
      <c r="D110" s="8" t="str">
        <f aca="false">INDEX(Material_Master!$D$2:$D$1000,MATCH(C110,Material_Master!$A$2:$A$1000,0))</f>
        <v>Sand for masonry &amp; plaster</v>
      </c>
      <c r="E110" s="6" t="s">
        <v>2991</v>
      </c>
      <c r="F110" s="6" t="s">
        <v>2979</v>
      </c>
      <c r="G110" s="6" t="s">
        <v>2930</v>
      </c>
      <c r="H110" s="9" t="n">
        <f aca="false">Coefficients!$D$37*Mix_Design!$K$8</f>
        <v>0.0798</v>
      </c>
      <c r="I110" s="6" t="s">
        <v>2942</v>
      </c>
      <c r="J110" s="6"/>
      <c r="K110" s="8" t="str">
        <f aca="false">INDEX(Material_Master!$F$2:$F$1000,MATCH(C110,Material_Master!$A$2:$A$1000,0))</f>
        <v>cft</v>
      </c>
      <c r="L110" s="10" t="n">
        <f aca="false">INDEX(Material_Master!$Q$2:$Q$1000,MATCH(C110,Material_Master!$A$2:$A$1000,0))</f>
        <v>0.1</v>
      </c>
    </row>
    <row r="111" customFormat="false" ht="15" hidden="false" customHeight="false" outlineLevel="0" collapsed="false">
      <c r="A111" s="6" t="s">
        <v>2669</v>
      </c>
      <c r="B111" s="8" t="str">
        <f aca="false">INDEX(Work_Items!$D$2:$D$300,MATCH(A111,Work_Items!$A$2:$A$300,0))</f>
        <v>External cement plaster 3/4in</v>
      </c>
      <c r="C111" s="6" t="s">
        <v>714</v>
      </c>
      <c r="D111" s="8" t="str">
        <f aca="false">INDEX(Material_Master!$D$2:$D$1000,MATCH(C111,Material_Master!$A$2:$A$1000,0))</f>
        <v>Corner beads (PVC/GI)</v>
      </c>
      <c r="E111" s="6" t="s">
        <v>2989</v>
      </c>
      <c r="F111" s="6"/>
      <c r="G111" s="6"/>
      <c r="H111" s="9" t="n">
        <f aca="false">Coefficients!$D$39</f>
        <v>0.05</v>
      </c>
      <c r="I111" s="6" t="s">
        <v>2990</v>
      </c>
      <c r="J111" s="6" t="s">
        <v>2935</v>
      </c>
      <c r="K111" s="8" t="str">
        <f aca="false">INDEX(Material_Master!$F$2:$F$1000,MATCH(C111,Material_Master!$A$2:$A$1000,0))</f>
        <v>rft</v>
      </c>
      <c r="L111" s="10" t="n">
        <f aca="false">INDEX(Material_Master!$Q$2:$Q$1000,MATCH(C111,Material_Master!$A$2:$A$1000,0))</f>
        <v>0.05</v>
      </c>
    </row>
    <row r="112" customFormat="false" ht="22.35" hidden="false" customHeight="false" outlineLevel="0" collapsed="false">
      <c r="A112" s="6" t="s">
        <v>2669</v>
      </c>
      <c r="B112" s="8" t="str">
        <f aca="false">INDEX(Work_Items!$D$2:$D$300,MATCH(A112,Work_Items!$A$2:$A$300,0))</f>
        <v>External cement plaster 3/4in</v>
      </c>
      <c r="C112" s="6" t="s">
        <v>586</v>
      </c>
      <c r="D112" s="8" t="str">
        <f aca="false">INDEX(Material_Master!$D$2:$D$1000,MATCH(C112,Material_Master!$A$2:$A$1000,0))</f>
        <v>Galvanised chicken wire mesh strip (6-9in)</v>
      </c>
      <c r="E112" s="6" t="s">
        <v>2980</v>
      </c>
      <c r="F112" s="6"/>
      <c r="G112" s="6"/>
      <c r="H112" s="9" t="n">
        <f aca="false">Coefficients!$D$31</f>
        <v>0.1</v>
      </c>
      <c r="I112" s="6" t="s">
        <v>2990</v>
      </c>
      <c r="J112" s="6" t="s">
        <v>2935</v>
      </c>
      <c r="K112" s="8" t="str">
        <f aca="false">INDEX(Material_Master!$F$2:$F$1000,MATCH(C112,Material_Master!$A$2:$A$1000,0))</f>
        <v>rft</v>
      </c>
      <c r="L112" s="10" t="n">
        <f aca="false">INDEX(Material_Master!$Q$2:$Q$1000,MATCH(C112,Material_Master!$A$2:$A$1000,0))</f>
        <v>0.05</v>
      </c>
    </row>
    <row r="113" customFormat="false" ht="15" hidden="false" customHeight="false" outlineLevel="0" collapsed="false">
      <c r="A113" s="6" t="s">
        <v>2676</v>
      </c>
      <c r="B113" s="8" t="str">
        <f aca="false">INDEX(Work_Items!$D$2:$D$300,MATCH(A113,Work_Items!$A$2:$A$300,0))</f>
        <v>Ceiling plaster 3/8in</v>
      </c>
      <c r="C113" s="6" t="s">
        <v>211</v>
      </c>
      <c r="D113" s="8" t="str">
        <f aca="false">INDEX(Material_Master!$D$2:$D$1000,MATCH(C113,Material_Master!$A$2:$A$1000,0))</f>
        <v>Ordinary Portland Cement (OPC) - 50 kg bag</v>
      </c>
      <c r="E113" s="6" t="s">
        <v>2992</v>
      </c>
      <c r="F113" s="6" t="s">
        <v>2979</v>
      </c>
      <c r="G113" s="6" t="s">
        <v>2928</v>
      </c>
      <c r="H113" s="9" t="n">
        <f aca="false">Coefficients!$D$38*Mix_Design!$J$8</f>
        <v>0.00813485602312918</v>
      </c>
      <c r="I113" s="6" t="s">
        <v>2941</v>
      </c>
      <c r="J113" s="6"/>
      <c r="K113" s="8" t="str">
        <f aca="false">INDEX(Material_Master!$F$2:$F$1000,MATCH(C113,Material_Master!$A$2:$A$1000,0))</f>
        <v>bag</v>
      </c>
      <c r="L113" s="10" t="n">
        <f aca="false">INDEX(Material_Master!$Q$2:$Q$1000,MATCH(C113,Material_Master!$A$2:$A$1000,0))</f>
        <v>0.02</v>
      </c>
    </row>
    <row r="114" customFormat="false" ht="15" hidden="false" customHeight="false" outlineLevel="0" collapsed="false">
      <c r="A114" s="6" t="s">
        <v>2676</v>
      </c>
      <c r="B114" s="8" t="str">
        <f aca="false">INDEX(Work_Items!$D$2:$D$300,MATCH(A114,Work_Items!$A$2:$A$300,0))</f>
        <v>Ceiling plaster 3/8in</v>
      </c>
      <c r="C114" s="6" t="s">
        <v>258</v>
      </c>
      <c r="D114" s="8" t="str">
        <f aca="false">INDEX(Material_Master!$D$2:$D$1000,MATCH(C114,Material_Master!$A$2:$A$1000,0))</f>
        <v>Sand for masonry &amp; plaster</v>
      </c>
      <c r="E114" s="6" t="s">
        <v>2992</v>
      </c>
      <c r="F114" s="6" t="s">
        <v>2979</v>
      </c>
      <c r="G114" s="6" t="s">
        <v>2930</v>
      </c>
      <c r="H114" s="9" t="n">
        <f aca="false">Coefficients!$D$38*Mix_Design!$K$8</f>
        <v>0.0399</v>
      </c>
      <c r="I114" s="6" t="s">
        <v>2942</v>
      </c>
      <c r="J114" s="6"/>
      <c r="K114" s="8" t="str">
        <f aca="false">INDEX(Material_Master!$F$2:$F$1000,MATCH(C114,Material_Master!$A$2:$A$1000,0))</f>
        <v>cft</v>
      </c>
      <c r="L114" s="10" t="n">
        <f aca="false">INDEX(Material_Master!$Q$2:$Q$1000,MATCH(C114,Material_Master!$A$2:$A$1000,0))</f>
        <v>0.1</v>
      </c>
    </row>
    <row r="115" customFormat="false" ht="22.35" hidden="false" customHeight="false" outlineLevel="0" collapsed="false">
      <c r="A115" s="6" t="s">
        <v>2681</v>
      </c>
      <c r="B115" s="8" t="str">
        <f aca="false">INDEX(Work_Items!$D$2:$D$300,MATCH(A115,Work_Items!$A$2:$A$300,0))</f>
        <v>Tank/manhole plaster 1:3 with WP compound</v>
      </c>
      <c r="C115" s="6" t="s">
        <v>211</v>
      </c>
      <c r="D115" s="8" t="str">
        <f aca="false">INDEX(Material_Master!$D$2:$D$1000,MATCH(C115,Material_Master!$A$2:$A$1000,0))</f>
        <v>Ordinary Portland Cement (OPC) - 50 kg bag</v>
      </c>
      <c r="E115" s="6" t="s">
        <v>2988</v>
      </c>
      <c r="F115" s="6" t="s">
        <v>2993</v>
      </c>
      <c r="G115" s="6" t="s">
        <v>2928</v>
      </c>
      <c r="H115" s="9" t="n">
        <f aca="false">Coefficients!$D$36*Mix_Design!$J$7</f>
        <v>0.013558093371882</v>
      </c>
      <c r="I115" s="6" t="s">
        <v>2941</v>
      </c>
      <c r="J115" s="6"/>
      <c r="K115" s="8" t="str">
        <f aca="false">INDEX(Material_Master!$F$2:$F$1000,MATCH(C115,Material_Master!$A$2:$A$1000,0))</f>
        <v>bag</v>
      </c>
      <c r="L115" s="10" t="n">
        <f aca="false">INDEX(Material_Master!$Q$2:$Q$1000,MATCH(C115,Material_Master!$A$2:$A$1000,0))</f>
        <v>0.02</v>
      </c>
    </row>
    <row r="116" customFormat="false" ht="22.35" hidden="false" customHeight="false" outlineLevel="0" collapsed="false">
      <c r="A116" s="6" t="s">
        <v>2681</v>
      </c>
      <c r="B116" s="8" t="str">
        <f aca="false">INDEX(Work_Items!$D$2:$D$300,MATCH(A116,Work_Items!$A$2:$A$300,0))</f>
        <v>Tank/manhole plaster 1:3 with WP compound</v>
      </c>
      <c r="C116" s="6" t="s">
        <v>258</v>
      </c>
      <c r="D116" s="8" t="str">
        <f aca="false">INDEX(Material_Master!$D$2:$D$1000,MATCH(C116,Material_Master!$A$2:$A$1000,0))</f>
        <v>Sand for masonry &amp; plaster</v>
      </c>
      <c r="E116" s="6" t="s">
        <v>2988</v>
      </c>
      <c r="F116" s="6" t="s">
        <v>2993</v>
      </c>
      <c r="G116" s="6" t="s">
        <v>2930</v>
      </c>
      <c r="H116" s="9" t="n">
        <f aca="false">Coefficients!$D$36*Mix_Design!$K$7</f>
        <v>0.049875</v>
      </c>
      <c r="I116" s="6" t="s">
        <v>2942</v>
      </c>
      <c r="J116" s="6"/>
      <c r="K116" s="8" t="str">
        <f aca="false">INDEX(Material_Master!$F$2:$F$1000,MATCH(C116,Material_Master!$A$2:$A$1000,0))</f>
        <v>cft</v>
      </c>
      <c r="L116" s="10" t="n">
        <f aca="false">INDEX(Material_Master!$Q$2:$Q$1000,MATCH(C116,Material_Master!$A$2:$A$1000,0))</f>
        <v>0.1</v>
      </c>
    </row>
    <row r="117" customFormat="false" ht="22.35" hidden="false" customHeight="false" outlineLevel="0" collapsed="false">
      <c r="A117" s="6" t="s">
        <v>2681</v>
      </c>
      <c r="B117" s="8" t="str">
        <f aca="false">INDEX(Work_Items!$D$2:$D$300,MATCH(A117,Work_Items!$A$2:$A$300,0))</f>
        <v>Tank/manhole plaster 1:3 with WP compound</v>
      </c>
      <c r="C117" s="6" t="s">
        <v>657</v>
      </c>
      <c r="D117" s="8" t="str">
        <f aca="false">INDEX(Material_Master!$D$2:$D$1000,MATCH(C117,Material_Master!$A$2:$A$1000,0))</f>
        <v>Integral waterproofing compound (powder/liquid)</v>
      </c>
      <c r="E117" s="6" t="s">
        <v>2994</v>
      </c>
      <c r="F117" s="6"/>
      <c r="G117" s="6"/>
      <c r="H117" s="9" t="n">
        <f aca="false">Coefficients!$D$234</f>
        <v>0.013558093371882</v>
      </c>
      <c r="I117" s="6" t="s">
        <v>2944</v>
      </c>
      <c r="J117" s="6" t="s">
        <v>2995</v>
      </c>
      <c r="K117" s="8" t="str">
        <f aca="false">INDEX(Material_Master!$F$2:$F$1000,MATCH(C117,Material_Master!$A$2:$A$1000,0))</f>
        <v>kg</v>
      </c>
      <c r="L117" s="10" t="n">
        <f aca="false">INDEX(Material_Master!$Q$2:$Q$1000,MATCH(C117,Material_Master!$A$2:$A$1000,0))</f>
        <v>0.05</v>
      </c>
    </row>
    <row r="118" customFormat="false" ht="22.35" hidden="false" customHeight="false" outlineLevel="0" collapsed="false">
      <c r="A118" s="6" t="s">
        <v>521</v>
      </c>
      <c r="B118" s="8" t="str">
        <f aca="false">INDEX(Work_Items!$D$2:$D$300,MATCH(A118,Work_Items!$A$2:$A$300,0))</f>
        <v>Roof treatment: bitumen 2 coats + polythene + earth + mud plaster + brick tiles</v>
      </c>
      <c r="C118" s="6" t="s">
        <v>602</v>
      </c>
      <c r="D118" s="8" t="str">
        <f aca="false">INDEX(Material_Master!$D$2:$D$1000,MATCH(C118,Material_Master!$A$2:$A$1000,0))</f>
        <v>Bitumen (hot applied)</v>
      </c>
      <c r="E118" s="6" t="s">
        <v>2996</v>
      </c>
      <c r="F118" s="6"/>
      <c r="G118" s="6"/>
      <c r="H118" s="9" t="n">
        <f aca="false">Coefficients!$D$53</f>
        <v>0.28</v>
      </c>
      <c r="I118" s="6" t="s">
        <v>2944</v>
      </c>
      <c r="J118" s="6"/>
      <c r="K118" s="8" t="str">
        <f aca="false">INDEX(Material_Master!$F$2:$F$1000,MATCH(C118,Material_Master!$A$2:$A$1000,0))</f>
        <v>kg</v>
      </c>
      <c r="L118" s="10" t="n">
        <f aca="false">INDEX(Material_Master!$Q$2:$Q$1000,MATCH(C118,Material_Master!$A$2:$A$1000,0))</f>
        <v>0.05</v>
      </c>
    </row>
    <row r="119" customFormat="false" ht="22.35" hidden="false" customHeight="false" outlineLevel="0" collapsed="false">
      <c r="A119" s="6" t="s">
        <v>521</v>
      </c>
      <c r="B119" s="8" t="str">
        <f aca="false">INDEX(Work_Items!$D$2:$D$300,MATCH(A119,Work_Items!$A$2:$A$300,0))</f>
        <v>Roof treatment: bitumen 2 coats + polythene + earth + mud plaster + brick tiles</v>
      </c>
      <c r="C119" s="6" t="s">
        <v>617</v>
      </c>
      <c r="D119" s="8" t="str">
        <f aca="false">INDEX(Material_Master!$D$2:$D$1000,MATCH(C119,Material_Master!$A$2:$A$1000,0))</f>
        <v>Bitumen primer (cut-back)</v>
      </c>
      <c r="E119" s="6" t="s">
        <v>2997</v>
      </c>
      <c r="F119" s="6"/>
      <c r="G119" s="6"/>
      <c r="H119" s="9" t="n">
        <f aca="false">Coefficients!$D$136</f>
        <v>0.00285714285714286</v>
      </c>
      <c r="I119" s="6" t="s">
        <v>2998</v>
      </c>
      <c r="J119" s="6" t="s">
        <v>2999</v>
      </c>
      <c r="K119" s="8" t="str">
        <f aca="false">INDEX(Material_Master!$F$2:$F$1000,MATCH(C119,Material_Master!$A$2:$A$1000,0))</f>
        <v>gal</v>
      </c>
      <c r="L119" s="10" t="n">
        <f aca="false">INDEX(Material_Master!$Q$2:$Q$1000,MATCH(C119,Material_Master!$A$2:$A$1000,0))</f>
        <v>0.05</v>
      </c>
    </row>
    <row r="120" customFormat="false" ht="22.35" hidden="false" customHeight="false" outlineLevel="0" collapsed="false">
      <c r="A120" s="6" t="s">
        <v>521</v>
      </c>
      <c r="B120" s="8" t="str">
        <f aca="false">INDEX(Work_Items!$D$2:$D$300,MATCH(A120,Work_Items!$A$2:$A$300,0))</f>
        <v>Roof treatment: bitumen 2 coats + polythene + earth + mud plaster + brick tiles</v>
      </c>
      <c r="C120" s="6" t="s">
        <v>624</v>
      </c>
      <c r="D120" s="8" t="str">
        <f aca="false">INDEX(Material_Master!$D$2:$D$1000,MATCH(C120,Material_Master!$A$2:$A$1000,0))</f>
        <v>Polythene sheet (high-density)</v>
      </c>
      <c r="E120" s="6" t="s">
        <v>2924</v>
      </c>
      <c r="F120" s="6"/>
      <c r="G120" s="6"/>
      <c r="H120" s="9" t="n">
        <f aca="false">Coefficients!$D$54</f>
        <v>1.15</v>
      </c>
      <c r="I120" s="6" t="s">
        <v>2925</v>
      </c>
      <c r="J120" s="6"/>
      <c r="K120" s="8" t="str">
        <f aca="false">INDEX(Material_Master!$F$2:$F$1000,MATCH(C120,Material_Master!$A$2:$A$1000,0))</f>
        <v>sft</v>
      </c>
      <c r="L120" s="10" t="n">
        <f aca="false">INDEX(Material_Master!$Q$2:$Q$1000,MATCH(C120,Material_Master!$A$2:$A$1000,0))</f>
        <v>0.05</v>
      </c>
    </row>
    <row r="121" customFormat="false" ht="22.35" hidden="false" customHeight="false" outlineLevel="0" collapsed="false">
      <c r="A121" s="6" t="s">
        <v>521</v>
      </c>
      <c r="B121" s="8" t="str">
        <f aca="false">INDEX(Work_Items!$D$2:$D$300,MATCH(A121,Work_Items!$A$2:$A$300,0))</f>
        <v>Roof treatment: bitumen 2 coats + polythene + earth + mud plaster + brick tiles</v>
      </c>
      <c r="C121" s="6" t="s">
        <v>672</v>
      </c>
      <c r="D121" s="8" t="str">
        <f aca="false">INDEX(Material_Master!$D$2:$D$1000,MATCH(C121,Material_Master!$A$2:$A$1000,0))</f>
        <v>Earth for roof insulation &amp; mud plaster</v>
      </c>
      <c r="E121" s="6" t="s">
        <v>3000</v>
      </c>
      <c r="F121" s="6"/>
      <c r="G121" s="6"/>
      <c r="H121" s="9" t="n">
        <f aca="false">Coefficients!$D$56</f>
        <v>0.4</v>
      </c>
      <c r="I121" s="6" t="s">
        <v>2942</v>
      </c>
      <c r="J121" s="6"/>
      <c r="K121" s="8" t="str">
        <f aca="false">INDEX(Material_Master!$F$2:$F$1000,MATCH(C121,Material_Master!$A$2:$A$1000,0))</f>
        <v>cft</v>
      </c>
      <c r="L121" s="10" t="n">
        <f aca="false">INDEX(Material_Master!$Q$2:$Q$1000,MATCH(C121,Material_Master!$A$2:$A$1000,0))</f>
        <v>0</v>
      </c>
    </row>
    <row r="122" customFormat="false" ht="22.35" hidden="false" customHeight="false" outlineLevel="0" collapsed="false">
      <c r="A122" s="6" t="s">
        <v>521</v>
      </c>
      <c r="B122" s="8" t="str">
        <f aca="false">INDEX(Work_Items!$D$2:$D$300,MATCH(A122,Work_Items!$A$2:$A$300,0))</f>
        <v>Roof treatment: bitumen 2 coats + polythene + earth + mud plaster + brick tiles</v>
      </c>
      <c r="C122" s="6" t="s">
        <v>672</v>
      </c>
      <c r="D122" s="8" t="str">
        <f aca="false">INDEX(Material_Master!$D$2:$D$1000,MATCH(C122,Material_Master!$A$2:$A$1000,0))</f>
        <v>Earth for roof insulation &amp; mud plaster</v>
      </c>
      <c r="E122" s="6" t="s">
        <v>3001</v>
      </c>
      <c r="F122" s="6"/>
      <c r="G122" s="6"/>
      <c r="H122" s="9" t="n">
        <f aca="false">Coefficients!$D$58</f>
        <v>0.1</v>
      </c>
      <c r="I122" s="6" t="s">
        <v>2942</v>
      </c>
      <c r="J122" s="6" t="s">
        <v>3002</v>
      </c>
      <c r="K122" s="8" t="str">
        <f aca="false">INDEX(Material_Master!$F$2:$F$1000,MATCH(C122,Material_Master!$A$2:$A$1000,0))</f>
        <v>cft</v>
      </c>
      <c r="L122" s="10" t="n">
        <f aca="false">INDEX(Material_Master!$Q$2:$Q$1000,MATCH(C122,Material_Master!$A$2:$A$1000,0))</f>
        <v>0</v>
      </c>
    </row>
    <row r="123" customFormat="false" ht="22.35" hidden="false" customHeight="false" outlineLevel="0" collapsed="false">
      <c r="A123" s="6" t="s">
        <v>521</v>
      </c>
      <c r="B123" s="8" t="str">
        <f aca="false">INDEX(Work_Items!$D$2:$D$300,MATCH(A123,Work_Items!$A$2:$A$300,0))</f>
        <v>Roof treatment: bitumen 2 coats + polythene + earth + mud plaster + brick tiles</v>
      </c>
      <c r="C123" s="6" t="s">
        <v>678</v>
      </c>
      <c r="D123" s="8" t="str">
        <f aca="false">INDEX(Material_Master!$D$2:$D$1000,MATCH(C123,Material_Master!$A$2:$A$1000,0))</f>
        <v>Straw (bhoosa) for mud plaster</v>
      </c>
      <c r="E123" s="6" t="s">
        <v>3003</v>
      </c>
      <c r="F123" s="6"/>
      <c r="G123" s="6"/>
      <c r="H123" s="9" t="n">
        <f aca="false">Coefficients!$D$59</f>
        <v>0.05</v>
      </c>
      <c r="I123" s="6" t="s">
        <v>2944</v>
      </c>
      <c r="J123" s="6"/>
      <c r="K123" s="8" t="str">
        <f aca="false">INDEX(Material_Master!$F$2:$F$1000,MATCH(C123,Material_Master!$A$2:$A$1000,0))</f>
        <v>kg</v>
      </c>
      <c r="L123" s="10" t="n">
        <f aca="false">INDEX(Material_Master!$Q$2:$Q$1000,MATCH(C123,Material_Master!$A$2:$A$1000,0))</f>
        <v>0.05</v>
      </c>
    </row>
    <row r="124" customFormat="false" ht="22.35" hidden="false" customHeight="false" outlineLevel="0" collapsed="false">
      <c r="A124" s="6" t="s">
        <v>521</v>
      </c>
      <c r="B124" s="8" t="str">
        <f aca="false">INDEX(Work_Items!$D$2:$D$300,MATCH(A124,Work_Items!$A$2:$A$300,0))</f>
        <v>Roof treatment: bitumen 2 coats + polythene + earth + mud plaster + brick tiles</v>
      </c>
      <c r="C124" s="6" t="s">
        <v>514</v>
      </c>
      <c r="D124" s="8" t="str">
        <f aca="false">INDEX(Material_Master!$D$2:$D$1000,MATCH(C124,Material_Master!$A$2:$A$1000,0))</f>
        <v>Burnt clay roof tiles 9x4.5x1.5in</v>
      </c>
      <c r="E124" s="6" t="s">
        <v>3004</v>
      </c>
      <c r="F124" s="6"/>
      <c r="G124" s="6"/>
      <c r="H124" s="9" t="n">
        <f aca="false">Coefficients!$D$28</f>
        <v>3.15076923076923</v>
      </c>
      <c r="I124" s="6" t="s">
        <v>2967</v>
      </c>
      <c r="J124" s="6"/>
      <c r="K124" s="8" t="str">
        <f aca="false">INDEX(Material_Master!$F$2:$F$1000,MATCH(C124,Material_Master!$A$2:$A$1000,0))</f>
        <v>Nos</v>
      </c>
      <c r="L124" s="10" t="n">
        <f aca="false">INDEX(Material_Master!$Q$2:$Q$1000,MATCH(C124,Material_Master!$A$2:$A$1000,0))</f>
        <v>0.07</v>
      </c>
    </row>
    <row r="125" customFormat="false" ht="22.35" hidden="false" customHeight="false" outlineLevel="0" collapsed="false">
      <c r="A125" s="6" t="s">
        <v>521</v>
      </c>
      <c r="B125" s="8" t="str">
        <f aca="false">INDEX(Work_Items!$D$2:$D$300,MATCH(A125,Work_Items!$A$2:$A$300,0))</f>
        <v>Roof treatment: bitumen 2 coats + polythene + earth + mud plaster + brick tiles</v>
      </c>
      <c r="C125" s="6" t="s">
        <v>211</v>
      </c>
      <c r="D125" s="8" t="str">
        <f aca="false">INDEX(Material_Master!$D$2:$D$1000,MATCH(C125,Material_Master!$A$2:$A$1000,0))</f>
        <v>Ordinary Portland Cement (OPC) - 50 kg bag</v>
      </c>
      <c r="E125" s="6" t="s">
        <v>3005</v>
      </c>
      <c r="F125" s="6" t="s">
        <v>2979</v>
      </c>
      <c r="G125" s="6" t="s">
        <v>2928</v>
      </c>
      <c r="H125" s="9" t="n">
        <f aca="false">Coefficients!$D$61*Mix_Design!$J$8</f>
        <v>0.0108464746975056</v>
      </c>
      <c r="I125" s="6" t="s">
        <v>2941</v>
      </c>
      <c r="J125" s="6" t="s">
        <v>3006</v>
      </c>
      <c r="K125" s="8" t="str">
        <f aca="false">INDEX(Material_Master!$F$2:$F$1000,MATCH(C125,Material_Master!$A$2:$A$1000,0))</f>
        <v>bag</v>
      </c>
      <c r="L125" s="10" t="n">
        <f aca="false">INDEX(Material_Master!$Q$2:$Q$1000,MATCH(C125,Material_Master!$A$2:$A$1000,0))</f>
        <v>0.02</v>
      </c>
    </row>
    <row r="126" customFormat="false" ht="22.35" hidden="false" customHeight="false" outlineLevel="0" collapsed="false">
      <c r="A126" s="6" t="s">
        <v>521</v>
      </c>
      <c r="B126" s="8" t="str">
        <f aca="false">INDEX(Work_Items!$D$2:$D$300,MATCH(A126,Work_Items!$A$2:$A$300,0))</f>
        <v>Roof treatment: bitumen 2 coats + polythene + earth + mud plaster + brick tiles</v>
      </c>
      <c r="C126" s="6" t="s">
        <v>258</v>
      </c>
      <c r="D126" s="8" t="str">
        <f aca="false">INDEX(Material_Master!$D$2:$D$1000,MATCH(C126,Material_Master!$A$2:$A$1000,0))</f>
        <v>Sand for masonry &amp; plaster</v>
      </c>
      <c r="E126" s="6" t="s">
        <v>3005</v>
      </c>
      <c r="F126" s="6" t="s">
        <v>2979</v>
      </c>
      <c r="G126" s="6" t="s">
        <v>2930</v>
      </c>
      <c r="H126" s="9" t="n">
        <f aca="false">Coefficients!$D$61*Mix_Design!$K$8</f>
        <v>0.0532</v>
      </c>
      <c r="I126" s="6" t="s">
        <v>2942</v>
      </c>
      <c r="J126" s="6"/>
      <c r="K126" s="8" t="str">
        <f aca="false">INDEX(Material_Master!$F$2:$F$1000,MATCH(C126,Material_Master!$A$2:$A$1000,0))</f>
        <v>cft</v>
      </c>
      <c r="L126" s="10" t="n">
        <f aca="false">INDEX(Material_Master!$Q$2:$Q$1000,MATCH(C126,Material_Master!$A$2:$A$1000,0))</f>
        <v>0.1</v>
      </c>
    </row>
    <row r="127" customFormat="false" ht="22.35" hidden="false" customHeight="false" outlineLevel="0" collapsed="false">
      <c r="A127" s="6" t="s">
        <v>649</v>
      </c>
      <c r="B127" s="8" t="str">
        <f aca="false">INDEX(Work_Items!$D$2:$D$300,MATCH(A127,Work_Items!$A$2:$A$300,0))</f>
        <v>Roof treatment alternative: EPS/XPS insulation + screed + membrane/tiles</v>
      </c>
      <c r="C127" s="6" t="s">
        <v>666</v>
      </c>
      <c r="D127" s="8" t="str">
        <f aca="false">INDEX(Material_Master!$D$2:$D$1000,MATCH(C127,Material_Master!$A$2:$A$1000,0))</f>
        <v>Roof thermal insulation board (EPS/XPS 1-2in)</v>
      </c>
      <c r="E127" s="6" t="s">
        <v>2914</v>
      </c>
      <c r="F127" s="6"/>
      <c r="G127" s="6"/>
      <c r="H127" s="9" t="n">
        <f aca="false">Coefficients!$D$2</f>
        <v>1</v>
      </c>
      <c r="I127" s="6" t="s">
        <v>2925</v>
      </c>
      <c r="J127" s="6"/>
      <c r="K127" s="8" t="str">
        <f aca="false">INDEX(Material_Master!$F$2:$F$1000,MATCH(C127,Material_Master!$A$2:$A$1000,0))</f>
        <v>sft</v>
      </c>
      <c r="L127" s="10" t="n">
        <f aca="false">INDEX(Material_Master!$Q$2:$Q$1000,MATCH(C127,Material_Master!$A$2:$A$1000,0))</f>
        <v>0.05</v>
      </c>
    </row>
    <row r="128" customFormat="false" ht="22.35" hidden="false" customHeight="false" outlineLevel="0" collapsed="false">
      <c r="A128" s="6" t="s">
        <v>649</v>
      </c>
      <c r="B128" s="8" t="str">
        <f aca="false">INDEX(Work_Items!$D$2:$D$300,MATCH(A128,Work_Items!$A$2:$A$300,0))</f>
        <v>Roof treatment alternative: EPS/XPS insulation + screed + membrane/tiles</v>
      </c>
      <c r="C128" s="6" t="s">
        <v>642</v>
      </c>
      <c r="D128" s="8" t="str">
        <f aca="false">INDEX(Material_Master!$D$2:$D$1000,MATCH(C128,Material_Master!$A$2:$A$1000,0))</f>
        <v>APP/SBS modified bitumen membrane 3-4 mm (torch-on)</v>
      </c>
      <c r="E128" s="6" t="s">
        <v>2924</v>
      </c>
      <c r="F128" s="6"/>
      <c r="G128" s="6"/>
      <c r="H128" s="9" t="n">
        <f aca="false">Coefficients!$D$54</f>
        <v>1.15</v>
      </c>
      <c r="I128" s="6" t="s">
        <v>2925</v>
      </c>
      <c r="J128" s="6" t="s">
        <v>3007</v>
      </c>
      <c r="K128" s="8" t="str">
        <f aca="false">INDEX(Material_Master!$F$2:$F$1000,MATCH(C128,Material_Master!$A$2:$A$1000,0))</f>
        <v>sft</v>
      </c>
      <c r="L128" s="10" t="n">
        <f aca="false">INDEX(Material_Master!$Q$2:$Q$1000,MATCH(C128,Material_Master!$A$2:$A$1000,0))</f>
        <v>0.05</v>
      </c>
    </row>
    <row r="129" customFormat="false" ht="22.35" hidden="false" customHeight="false" outlineLevel="0" collapsed="false">
      <c r="A129" s="6" t="s">
        <v>649</v>
      </c>
      <c r="B129" s="8" t="str">
        <f aca="false">INDEX(Work_Items!$D$2:$D$300,MATCH(A129,Work_Items!$A$2:$A$300,0))</f>
        <v>Roof treatment alternative: EPS/XPS insulation + screed + membrane/tiles</v>
      </c>
      <c r="C129" s="6" t="s">
        <v>211</v>
      </c>
      <c r="D129" s="8" t="str">
        <f aca="false">INDEX(Material_Master!$D$2:$D$1000,MATCH(C129,Material_Master!$A$2:$A$1000,0))</f>
        <v>Ordinary Portland Cement (OPC) - 50 kg bag</v>
      </c>
      <c r="E129" s="6" t="s">
        <v>3008</v>
      </c>
      <c r="F129" s="6" t="s">
        <v>2979</v>
      </c>
      <c r="G129" s="6" t="s">
        <v>2928</v>
      </c>
      <c r="H129" s="9" t="n">
        <f aca="false">Coefficients!$D$63*Mix_Design!$J$8</f>
        <v>0.0361549156583519</v>
      </c>
      <c r="I129" s="6" t="s">
        <v>2941</v>
      </c>
      <c r="J129" s="6" t="s">
        <v>3009</v>
      </c>
      <c r="K129" s="8" t="str">
        <f aca="false">INDEX(Material_Master!$F$2:$F$1000,MATCH(C129,Material_Master!$A$2:$A$1000,0))</f>
        <v>bag</v>
      </c>
      <c r="L129" s="10" t="n">
        <f aca="false">INDEX(Material_Master!$Q$2:$Q$1000,MATCH(C129,Material_Master!$A$2:$A$1000,0))</f>
        <v>0.02</v>
      </c>
    </row>
    <row r="130" customFormat="false" ht="22.35" hidden="false" customHeight="false" outlineLevel="0" collapsed="false">
      <c r="A130" s="6" t="s">
        <v>649</v>
      </c>
      <c r="B130" s="8" t="str">
        <f aca="false">INDEX(Work_Items!$D$2:$D$300,MATCH(A130,Work_Items!$A$2:$A$300,0))</f>
        <v>Roof treatment alternative: EPS/XPS insulation + screed + membrane/tiles</v>
      </c>
      <c r="C130" s="6" t="s">
        <v>258</v>
      </c>
      <c r="D130" s="8" t="str">
        <f aca="false">INDEX(Material_Master!$D$2:$D$1000,MATCH(C130,Material_Master!$A$2:$A$1000,0))</f>
        <v>Sand for masonry &amp; plaster</v>
      </c>
      <c r="E130" s="6" t="s">
        <v>3008</v>
      </c>
      <c r="F130" s="6" t="s">
        <v>2979</v>
      </c>
      <c r="G130" s="6" t="s">
        <v>2930</v>
      </c>
      <c r="H130" s="9" t="n">
        <f aca="false">Coefficients!$D$63*Mix_Design!$K$8</f>
        <v>0.177333333333333</v>
      </c>
      <c r="I130" s="6" t="s">
        <v>2942</v>
      </c>
      <c r="J130" s="6"/>
      <c r="K130" s="8" t="str">
        <f aca="false">INDEX(Material_Master!$F$2:$F$1000,MATCH(C130,Material_Master!$A$2:$A$1000,0))</f>
        <v>cft</v>
      </c>
      <c r="L130" s="10" t="n">
        <f aca="false">INDEX(Material_Master!$Q$2:$Q$1000,MATCH(C130,Material_Master!$A$2:$A$1000,0))</f>
        <v>0.1</v>
      </c>
    </row>
    <row r="131" customFormat="false" ht="22.35" hidden="false" customHeight="false" outlineLevel="0" collapsed="false">
      <c r="A131" s="6" t="s">
        <v>639</v>
      </c>
      <c r="B131" s="8" t="str">
        <f aca="false">INDEX(Work_Items!$D$2:$D$300,MATCH(A131,Work_Items!$A$2:$A$300,0))</f>
        <v>Wet-area waterproofing (baths, kitchen, laundry, terraces)</v>
      </c>
      <c r="C131" s="6" t="s">
        <v>630</v>
      </c>
      <c r="D131" s="8" t="str">
        <f aca="false">INDEX(Material_Master!$D$2:$D$1000,MATCH(C131,Material_Master!$A$2:$A$1000,0))</f>
        <v>Two-component cementitious waterproof coating</v>
      </c>
      <c r="E131" s="6" t="s">
        <v>3010</v>
      </c>
      <c r="F131" s="6"/>
      <c r="G131" s="6"/>
      <c r="H131" s="9" t="n">
        <f aca="false">Coefficients!$D$64</f>
        <v>0.18</v>
      </c>
      <c r="I131" s="6" t="s">
        <v>2944</v>
      </c>
      <c r="J131" s="6"/>
      <c r="K131" s="8" t="str">
        <f aca="false">INDEX(Material_Master!$F$2:$F$1000,MATCH(C131,Material_Master!$A$2:$A$1000,0))</f>
        <v>kg</v>
      </c>
      <c r="L131" s="10" t="n">
        <f aca="false">INDEX(Material_Master!$Q$2:$Q$1000,MATCH(C131,Material_Master!$A$2:$A$1000,0))</f>
        <v>0.05</v>
      </c>
    </row>
    <row r="132" customFormat="false" ht="15" hidden="false" customHeight="false" outlineLevel="0" collapsed="false">
      <c r="A132" s="6" t="s">
        <v>752</v>
      </c>
      <c r="B132" s="8" t="str">
        <f aca="false">INDEX(Work_Items!$D$2:$D$300,MATCH(A132,Work_Items!$A$2:$A$300,0))</f>
        <v>Slope screed 1:4 (roof, terraces, baths)</v>
      </c>
      <c r="C132" s="6" t="s">
        <v>211</v>
      </c>
      <c r="D132" s="8" t="str">
        <f aca="false">INDEX(Material_Master!$D$2:$D$1000,MATCH(C132,Material_Master!$A$2:$A$1000,0))</f>
        <v>Ordinary Portland Cement (OPC) - 50 kg bag</v>
      </c>
      <c r="E132" s="6" t="s">
        <v>3008</v>
      </c>
      <c r="F132" s="6" t="s">
        <v>2979</v>
      </c>
      <c r="G132" s="6" t="s">
        <v>2928</v>
      </c>
      <c r="H132" s="9" t="n">
        <f aca="false">Coefficients!$D$63*Mix_Design!$J$8</f>
        <v>0.0361549156583519</v>
      </c>
      <c r="I132" s="6" t="s">
        <v>2941</v>
      </c>
      <c r="J132" s="6"/>
      <c r="K132" s="8" t="str">
        <f aca="false">INDEX(Material_Master!$F$2:$F$1000,MATCH(C132,Material_Master!$A$2:$A$1000,0))</f>
        <v>bag</v>
      </c>
      <c r="L132" s="10" t="n">
        <f aca="false">INDEX(Material_Master!$Q$2:$Q$1000,MATCH(C132,Material_Master!$A$2:$A$1000,0))</f>
        <v>0.02</v>
      </c>
    </row>
    <row r="133" customFormat="false" ht="15" hidden="false" customHeight="false" outlineLevel="0" collapsed="false">
      <c r="A133" s="6" t="s">
        <v>752</v>
      </c>
      <c r="B133" s="8" t="str">
        <f aca="false">INDEX(Work_Items!$D$2:$D$300,MATCH(A133,Work_Items!$A$2:$A$300,0))</f>
        <v>Slope screed 1:4 (roof, terraces, baths)</v>
      </c>
      <c r="C133" s="6" t="s">
        <v>258</v>
      </c>
      <c r="D133" s="8" t="str">
        <f aca="false">INDEX(Material_Master!$D$2:$D$1000,MATCH(C133,Material_Master!$A$2:$A$1000,0))</f>
        <v>Sand for masonry &amp; plaster</v>
      </c>
      <c r="E133" s="6" t="s">
        <v>3008</v>
      </c>
      <c r="F133" s="6" t="s">
        <v>2979</v>
      </c>
      <c r="G133" s="6" t="s">
        <v>2930</v>
      </c>
      <c r="H133" s="9" t="n">
        <f aca="false">Coefficients!$D$63*Mix_Design!$K$8</f>
        <v>0.177333333333333</v>
      </c>
      <c r="I133" s="6" t="s">
        <v>2942</v>
      </c>
      <c r="J133" s="6"/>
      <c r="K133" s="8" t="str">
        <f aca="false">INDEX(Material_Master!$F$2:$F$1000,MATCH(C133,Material_Master!$A$2:$A$1000,0))</f>
        <v>cft</v>
      </c>
      <c r="L133" s="10" t="n">
        <f aca="false">INDEX(Material_Master!$Q$2:$Q$1000,MATCH(C133,Material_Master!$A$2:$A$1000,0))</f>
        <v>0.1</v>
      </c>
    </row>
    <row r="134" customFormat="false" ht="15" hidden="false" customHeight="false" outlineLevel="0" collapsed="false">
      <c r="A134" s="6" t="s">
        <v>752</v>
      </c>
      <c r="B134" s="8" t="str">
        <f aca="false">INDEX(Work_Items!$D$2:$D$300,MATCH(A134,Work_Items!$A$2:$A$300,0))</f>
        <v>Slope screed 1:4 (roof, terraces, baths)</v>
      </c>
      <c r="C134" s="6" t="s">
        <v>745</v>
      </c>
      <c r="D134" s="8" t="str">
        <f aca="false">INDEX(Material_Master!$D$2:$D$1000,MATCH(C134,Material_Master!$A$2:$A$1000,0))</f>
        <v>Polypropylene micro-fibres</v>
      </c>
      <c r="E134" s="6" t="s">
        <v>3011</v>
      </c>
      <c r="F134" s="6"/>
      <c r="G134" s="6"/>
      <c r="H134" s="9" t="n">
        <f aca="false">Coefficients!$D$235</f>
        <v>0.00424752298617856</v>
      </c>
      <c r="I134" s="6" t="s">
        <v>2944</v>
      </c>
      <c r="J134" s="6"/>
      <c r="K134" s="8" t="str">
        <f aca="false">INDEX(Material_Master!$F$2:$F$1000,MATCH(C134,Material_Master!$A$2:$A$1000,0))</f>
        <v>kg</v>
      </c>
      <c r="L134" s="10" t="n">
        <f aca="false">INDEX(Material_Master!$Q$2:$Q$1000,MATCH(C134,Material_Master!$A$2:$A$1000,0))</f>
        <v>0.05</v>
      </c>
    </row>
    <row r="135" customFormat="false" ht="22.35" hidden="false" customHeight="false" outlineLevel="0" collapsed="false">
      <c r="A135" s="6" t="s">
        <v>771</v>
      </c>
      <c r="B135" s="8" t="str">
        <f aca="false">INDEX(Work_Items!$D$2:$D$300,MATCH(A135,Work_Items!$A$2:$A$300,0))</f>
        <v>Porcelain floor tiles on mortar bed (rooms, lounges)</v>
      </c>
      <c r="C135" s="6" t="s">
        <v>761</v>
      </c>
      <c r="D135" s="8" t="str">
        <f aca="false">INDEX(Material_Master!$D$2:$D$1000,MATCH(C135,Material_Master!$A$2:$A$1000,0))</f>
        <v>Porcelain floor tiles 24x24in (600x600mm)</v>
      </c>
      <c r="E135" s="6" t="s">
        <v>2914</v>
      </c>
      <c r="F135" s="6"/>
      <c r="G135" s="6"/>
      <c r="H135" s="9" t="n">
        <f aca="false">Coefficients!$D$2</f>
        <v>1</v>
      </c>
      <c r="I135" s="6" t="s">
        <v>2925</v>
      </c>
      <c r="J135" s="6"/>
      <c r="K135" s="8" t="str">
        <f aca="false">INDEX(Material_Master!$F$2:$F$1000,MATCH(C135,Material_Master!$A$2:$A$1000,0))</f>
        <v>sft</v>
      </c>
      <c r="L135" s="10" t="n">
        <f aca="false">INDEX(Material_Master!$Q$2:$Q$1000,MATCH(C135,Material_Master!$A$2:$A$1000,0))</f>
        <v>0.07</v>
      </c>
    </row>
    <row r="136" customFormat="false" ht="22.35" hidden="false" customHeight="false" outlineLevel="0" collapsed="false">
      <c r="A136" s="6" t="s">
        <v>771</v>
      </c>
      <c r="B136" s="8" t="str">
        <f aca="false">INDEX(Work_Items!$D$2:$D$300,MATCH(A136,Work_Items!$A$2:$A$300,0))</f>
        <v>Porcelain floor tiles on mortar bed (rooms, lounges)</v>
      </c>
      <c r="C136" s="6" t="s">
        <v>211</v>
      </c>
      <c r="D136" s="8" t="str">
        <f aca="false">INDEX(Material_Master!$D$2:$D$1000,MATCH(C136,Material_Master!$A$2:$A$1000,0))</f>
        <v>Ordinary Portland Cement (OPC) - 50 kg bag</v>
      </c>
      <c r="E136" s="6" t="s">
        <v>3012</v>
      </c>
      <c r="F136" s="6" t="s">
        <v>2979</v>
      </c>
      <c r="G136" s="6" t="s">
        <v>2928</v>
      </c>
      <c r="H136" s="9" t="n">
        <f aca="false">Coefficients!$D$41*Mix_Design!$J$8</f>
        <v>0.018077457829176</v>
      </c>
      <c r="I136" s="6" t="s">
        <v>2941</v>
      </c>
      <c r="J136" s="6" t="s">
        <v>3013</v>
      </c>
      <c r="K136" s="8" t="str">
        <f aca="false">INDEX(Material_Master!$F$2:$F$1000,MATCH(C136,Material_Master!$A$2:$A$1000,0))</f>
        <v>bag</v>
      </c>
      <c r="L136" s="10" t="n">
        <f aca="false">INDEX(Material_Master!$Q$2:$Q$1000,MATCH(C136,Material_Master!$A$2:$A$1000,0))</f>
        <v>0.02</v>
      </c>
    </row>
    <row r="137" customFormat="false" ht="22.35" hidden="false" customHeight="false" outlineLevel="0" collapsed="false">
      <c r="A137" s="6" t="s">
        <v>771</v>
      </c>
      <c r="B137" s="8" t="str">
        <f aca="false">INDEX(Work_Items!$D$2:$D$300,MATCH(A137,Work_Items!$A$2:$A$300,0))</f>
        <v>Porcelain floor tiles on mortar bed (rooms, lounges)</v>
      </c>
      <c r="C137" s="6" t="s">
        <v>258</v>
      </c>
      <c r="D137" s="8" t="str">
        <f aca="false">INDEX(Material_Master!$D$2:$D$1000,MATCH(C137,Material_Master!$A$2:$A$1000,0))</f>
        <v>Sand for masonry &amp; plaster</v>
      </c>
      <c r="E137" s="6" t="s">
        <v>3012</v>
      </c>
      <c r="F137" s="6" t="s">
        <v>2979</v>
      </c>
      <c r="G137" s="6" t="s">
        <v>2930</v>
      </c>
      <c r="H137" s="9" t="n">
        <f aca="false">Coefficients!$D$41*Mix_Design!$K$8</f>
        <v>0.0886666666666667</v>
      </c>
      <c r="I137" s="6" t="s">
        <v>2942</v>
      </c>
      <c r="J137" s="6"/>
      <c r="K137" s="8" t="str">
        <f aca="false">INDEX(Material_Master!$F$2:$F$1000,MATCH(C137,Material_Master!$A$2:$A$1000,0))</f>
        <v>cft</v>
      </c>
      <c r="L137" s="10" t="n">
        <f aca="false">INDEX(Material_Master!$Q$2:$Q$1000,MATCH(C137,Material_Master!$A$2:$A$1000,0))</f>
        <v>0.1</v>
      </c>
    </row>
    <row r="138" customFormat="false" ht="22.35" hidden="false" customHeight="false" outlineLevel="0" collapsed="false">
      <c r="A138" s="6" t="s">
        <v>771</v>
      </c>
      <c r="B138" s="8" t="str">
        <f aca="false">INDEX(Work_Items!$D$2:$D$300,MATCH(A138,Work_Items!$A$2:$A$300,0))</f>
        <v>Porcelain floor tiles on mortar bed (rooms, lounges)</v>
      </c>
      <c r="C138" s="6" t="s">
        <v>840</v>
      </c>
      <c r="D138" s="8" t="str">
        <f aca="false">INDEX(Material_Master!$D$2:$D$1000,MATCH(C138,Material_Master!$A$2:$A$1000,0))</f>
        <v>Tile grout (cementitious / epoxy)</v>
      </c>
      <c r="E138" s="6" t="s">
        <v>3014</v>
      </c>
      <c r="F138" s="6"/>
      <c r="G138" s="6"/>
      <c r="H138" s="9" t="n">
        <f aca="false">Coefficients!$D$107</f>
        <v>0.03</v>
      </c>
      <c r="I138" s="6" t="s">
        <v>2944</v>
      </c>
      <c r="J138" s="6"/>
      <c r="K138" s="8" t="str">
        <f aca="false">INDEX(Material_Master!$F$2:$F$1000,MATCH(C138,Material_Master!$A$2:$A$1000,0))</f>
        <v>kg</v>
      </c>
      <c r="L138" s="10" t="n">
        <f aca="false">INDEX(Material_Master!$Q$2:$Q$1000,MATCH(C138,Material_Master!$A$2:$A$1000,0))</f>
        <v>0.1</v>
      </c>
    </row>
    <row r="139" customFormat="false" ht="22.35" hidden="false" customHeight="false" outlineLevel="0" collapsed="false">
      <c r="A139" s="6" t="s">
        <v>771</v>
      </c>
      <c r="B139" s="8" t="str">
        <f aca="false">INDEX(Work_Items!$D$2:$D$300,MATCH(A139,Work_Items!$A$2:$A$300,0))</f>
        <v>Porcelain floor tiles on mortar bed (rooms, lounges)</v>
      </c>
      <c r="C139" s="6" t="s">
        <v>850</v>
      </c>
      <c r="D139" s="8" t="str">
        <f aca="false">INDEX(Material_Master!$D$2:$D$1000,MATCH(C139,Material_Master!$A$2:$A$1000,0))</f>
        <v>Tile spacers / levelling clips</v>
      </c>
      <c r="E139" s="6" t="s">
        <v>3015</v>
      </c>
      <c r="F139" s="6"/>
      <c r="G139" s="6"/>
      <c r="H139" s="9" t="n">
        <f aca="false">Coefficients!$D$108</f>
        <v>1.5</v>
      </c>
      <c r="I139" s="6" t="s">
        <v>2967</v>
      </c>
      <c r="J139" s="6"/>
      <c r="K139" s="8" t="str">
        <f aca="false">INDEX(Material_Master!$F$2:$F$1000,MATCH(C139,Material_Master!$A$2:$A$1000,0))</f>
        <v>Nos</v>
      </c>
      <c r="L139" s="10" t="n">
        <f aca="false">INDEX(Material_Master!$Q$2:$Q$1000,MATCH(C139,Material_Master!$A$2:$A$1000,0))</f>
        <v>0.05</v>
      </c>
    </row>
    <row r="140" customFormat="false" ht="22.35" hidden="false" customHeight="false" outlineLevel="0" collapsed="false">
      <c r="A140" s="6" t="s">
        <v>780</v>
      </c>
      <c r="B140" s="8" t="str">
        <f aca="false">INDEX(Work_Items!$D$2:$D$300,MATCH(A140,Work_Items!$A$2:$A$300,0))</f>
        <v>Ceramic anti-skid floor tiles (baths, kitchen, laundry)</v>
      </c>
      <c r="C140" s="6" t="s">
        <v>773</v>
      </c>
      <c r="D140" s="8" t="str">
        <f aca="false">INDEX(Material_Master!$D$2:$D$1000,MATCH(C140,Material_Master!$A$2:$A$1000,0))</f>
        <v>Ceramic anti-skid floor tiles 12x12 / 16x16in</v>
      </c>
      <c r="E140" s="6" t="s">
        <v>2914</v>
      </c>
      <c r="F140" s="6"/>
      <c r="G140" s="6"/>
      <c r="H140" s="9" t="n">
        <f aca="false">Coefficients!$D$2</f>
        <v>1</v>
      </c>
      <c r="I140" s="6" t="s">
        <v>2925</v>
      </c>
      <c r="J140" s="6"/>
      <c r="K140" s="8" t="str">
        <f aca="false">INDEX(Material_Master!$F$2:$F$1000,MATCH(C140,Material_Master!$A$2:$A$1000,0))</f>
        <v>sft</v>
      </c>
      <c r="L140" s="10" t="n">
        <f aca="false">INDEX(Material_Master!$Q$2:$Q$1000,MATCH(C140,Material_Master!$A$2:$A$1000,0))</f>
        <v>0.07</v>
      </c>
    </row>
    <row r="141" customFormat="false" ht="22.35" hidden="false" customHeight="false" outlineLevel="0" collapsed="false">
      <c r="A141" s="6" t="s">
        <v>780</v>
      </c>
      <c r="B141" s="8" t="str">
        <f aca="false">INDEX(Work_Items!$D$2:$D$300,MATCH(A141,Work_Items!$A$2:$A$300,0))</f>
        <v>Ceramic anti-skid floor tiles (baths, kitchen, laundry)</v>
      </c>
      <c r="C141" s="6" t="s">
        <v>211</v>
      </c>
      <c r="D141" s="8" t="str">
        <f aca="false">INDEX(Material_Master!$D$2:$D$1000,MATCH(C141,Material_Master!$A$2:$A$1000,0))</f>
        <v>Ordinary Portland Cement (OPC) - 50 kg bag</v>
      </c>
      <c r="E141" s="6" t="s">
        <v>3012</v>
      </c>
      <c r="F141" s="6" t="s">
        <v>2979</v>
      </c>
      <c r="G141" s="6" t="s">
        <v>2928</v>
      </c>
      <c r="H141" s="9" t="n">
        <f aca="false">Coefficients!$D$41*Mix_Design!$J$8</f>
        <v>0.018077457829176</v>
      </c>
      <c r="I141" s="6" t="s">
        <v>2941</v>
      </c>
      <c r="J141" s="6" t="s">
        <v>3013</v>
      </c>
      <c r="K141" s="8" t="str">
        <f aca="false">INDEX(Material_Master!$F$2:$F$1000,MATCH(C141,Material_Master!$A$2:$A$1000,0))</f>
        <v>bag</v>
      </c>
      <c r="L141" s="10" t="n">
        <f aca="false">INDEX(Material_Master!$Q$2:$Q$1000,MATCH(C141,Material_Master!$A$2:$A$1000,0))</f>
        <v>0.02</v>
      </c>
    </row>
    <row r="142" customFormat="false" ht="22.35" hidden="false" customHeight="false" outlineLevel="0" collapsed="false">
      <c r="A142" s="6" t="s">
        <v>780</v>
      </c>
      <c r="B142" s="8" t="str">
        <f aca="false">INDEX(Work_Items!$D$2:$D$300,MATCH(A142,Work_Items!$A$2:$A$300,0))</f>
        <v>Ceramic anti-skid floor tiles (baths, kitchen, laundry)</v>
      </c>
      <c r="C142" s="6" t="s">
        <v>258</v>
      </c>
      <c r="D142" s="8" t="str">
        <f aca="false">INDEX(Material_Master!$D$2:$D$1000,MATCH(C142,Material_Master!$A$2:$A$1000,0))</f>
        <v>Sand for masonry &amp; plaster</v>
      </c>
      <c r="E142" s="6" t="s">
        <v>3012</v>
      </c>
      <c r="F142" s="6" t="s">
        <v>2979</v>
      </c>
      <c r="G142" s="6" t="s">
        <v>2930</v>
      </c>
      <c r="H142" s="9" t="n">
        <f aca="false">Coefficients!$D$41*Mix_Design!$K$8</f>
        <v>0.0886666666666667</v>
      </c>
      <c r="I142" s="6" t="s">
        <v>2942</v>
      </c>
      <c r="J142" s="6"/>
      <c r="K142" s="8" t="str">
        <f aca="false">INDEX(Material_Master!$F$2:$F$1000,MATCH(C142,Material_Master!$A$2:$A$1000,0))</f>
        <v>cft</v>
      </c>
      <c r="L142" s="10" t="n">
        <f aca="false">INDEX(Material_Master!$Q$2:$Q$1000,MATCH(C142,Material_Master!$A$2:$A$1000,0))</f>
        <v>0.1</v>
      </c>
    </row>
    <row r="143" customFormat="false" ht="22.35" hidden="false" customHeight="false" outlineLevel="0" collapsed="false">
      <c r="A143" s="6" t="s">
        <v>780</v>
      </c>
      <c r="B143" s="8" t="str">
        <f aca="false">INDEX(Work_Items!$D$2:$D$300,MATCH(A143,Work_Items!$A$2:$A$300,0))</f>
        <v>Ceramic anti-skid floor tiles (baths, kitchen, laundry)</v>
      </c>
      <c r="C143" s="6" t="s">
        <v>840</v>
      </c>
      <c r="D143" s="8" t="str">
        <f aca="false">INDEX(Material_Master!$D$2:$D$1000,MATCH(C143,Material_Master!$A$2:$A$1000,0))</f>
        <v>Tile grout (cementitious / epoxy)</v>
      </c>
      <c r="E143" s="6" t="s">
        <v>3014</v>
      </c>
      <c r="F143" s="6"/>
      <c r="G143" s="6"/>
      <c r="H143" s="9" t="n">
        <f aca="false">Coefficients!$D$107</f>
        <v>0.03</v>
      </c>
      <c r="I143" s="6" t="s">
        <v>2944</v>
      </c>
      <c r="J143" s="6"/>
      <c r="K143" s="8" t="str">
        <f aca="false">INDEX(Material_Master!$F$2:$F$1000,MATCH(C143,Material_Master!$A$2:$A$1000,0))</f>
        <v>kg</v>
      </c>
      <c r="L143" s="10" t="n">
        <f aca="false">INDEX(Material_Master!$Q$2:$Q$1000,MATCH(C143,Material_Master!$A$2:$A$1000,0))</f>
        <v>0.1</v>
      </c>
    </row>
    <row r="144" customFormat="false" ht="22.35" hidden="false" customHeight="false" outlineLevel="0" collapsed="false">
      <c r="A144" s="6" t="s">
        <v>780</v>
      </c>
      <c r="B144" s="8" t="str">
        <f aca="false">INDEX(Work_Items!$D$2:$D$300,MATCH(A144,Work_Items!$A$2:$A$300,0))</f>
        <v>Ceramic anti-skid floor tiles (baths, kitchen, laundry)</v>
      </c>
      <c r="C144" s="6" t="s">
        <v>850</v>
      </c>
      <c r="D144" s="8" t="str">
        <f aca="false">INDEX(Material_Master!$D$2:$D$1000,MATCH(C144,Material_Master!$A$2:$A$1000,0))</f>
        <v>Tile spacers / levelling clips</v>
      </c>
      <c r="E144" s="6" t="s">
        <v>3015</v>
      </c>
      <c r="F144" s="6"/>
      <c r="G144" s="6"/>
      <c r="H144" s="9" t="n">
        <f aca="false">Coefficients!$D$108</f>
        <v>1.5</v>
      </c>
      <c r="I144" s="6" t="s">
        <v>2967</v>
      </c>
      <c r="J144" s="6"/>
      <c r="K144" s="8" t="str">
        <f aca="false">INDEX(Material_Master!$F$2:$F$1000,MATCH(C144,Material_Master!$A$2:$A$1000,0))</f>
        <v>Nos</v>
      </c>
      <c r="L144" s="10" t="n">
        <f aca="false">INDEX(Material_Master!$Q$2:$Q$1000,MATCH(C144,Material_Master!$A$2:$A$1000,0))</f>
        <v>0.05</v>
      </c>
    </row>
    <row r="145" customFormat="false" ht="22.35" hidden="false" customHeight="false" outlineLevel="0" collapsed="false">
      <c r="A145" s="6" t="s">
        <v>789</v>
      </c>
      <c r="B145" s="8" t="str">
        <f aca="false">INDEX(Work_Items!$D$2:$D$300,MATCH(A145,Work_Items!$A$2:$A$300,0))</f>
        <v>Wall tiles (bath full height, kitchen backsplash)</v>
      </c>
      <c r="C145" s="6" t="s">
        <v>782</v>
      </c>
      <c r="D145" s="8" t="str">
        <f aca="false">INDEX(Material_Master!$D$2:$D$1000,MATCH(C145,Material_Master!$A$2:$A$1000,0))</f>
        <v>Ceramic/porcelain wall tiles 12x24in</v>
      </c>
      <c r="E145" s="6" t="s">
        <v>2914</v>
      </c>
      <c r="F145" s="6"/>
      <c r="G145" s="6"/>
      <c r="H145" s="9" t="n">
        <f aca="false">Coefficients!$D$2</f>
        <v>1</v>
      </c>
      <c r="I145" s="6" t="s">
        <v>2925</v>
      </c>
      <c r="J145" s="6"/>
      <c r="K145" s="8" t="str">
        <f aca="false">INDEX(Material_Master!$F$2:$F$1000,MATCH(C145,Material_Master!$A$2:$A$1000,0))</f>
        <v>sft</v>
      </c>
      <c r="L145" s="10" t="n">
        <f aca="false">INDEX(Material_Master!$Q$2:$Q$1000,MATCH(C145,Material_Master!$A$2:$A$1000,0))</f>
        <v>0.08</v>
      </c>
    </row>
    <row r="146" customFormat="false" ht="22.35" hidden="false" customHeight="false" outlineLevel="0" collapsed="false">
      <c r="A146" s="6" t="s">
        <v>789</v>
      </c>
      <c r="B146" s="8" t="str">
        <f aca="false">INDEX(Work_Items!$D$2:$D$300,MATCH(A146,Work_Items!$A$2:$A$300,0))</f>
        <v>Wall tiles (bath full height, kitchen backsplash)</v>
      </c>
      <c r="C146" s="6" t="s">
        <v>830</v>
      </c>
      <c r="D146" s="8" t="str">
        <f aca="false">INDEX(Material_Master!$D$2:$D$1000,MATCH(C146,Material_Master!$A$2:$A$1000,0))</f>
        <v>Cement-based tile adhesive (C1/C2)</v>
      </c>
      <c r="E146" s="6" t="s">
        <v>3016</v>
      </c>
      <c r="F146" s="6"/>
      <c r="G146" s="6"/>
      <c r="H146" s="9" t="n">
        <f aca="false">Coefficients!$D$106</f>
        <v>0.42</v>
      </c>
      <c r="I146" s="6" t="s">
        <v>2944</v>
      </c>
      <c r="J146" s="6" t="s">
        <v>3017</v>
      </c>
      <c r="K146" s="8" t="str">
        <f aca="false">INDEX(Material_Master!$F$2:$F$1000,MATCH(C146,Material_Master!$A$2:$A$1000,0))</f>
        <v>kg</v>
      </c>
      <c r="L146" s="10" t="n">
        <f aca="false">INDEX(Material_Master!$Q$2:$Q$1000,MATCH(C146,Material_Master!$A$2:$A$1000,0))</f>
        <v>0.05</v>
      </c>
    </row>
    <row r="147" customFormat="false" ht="22.35" hidden="false" customHeight="false" outlineLevel="0" collapsed="false">
      <c r="A147" s="6" t="s">
        <v>789</v>
      </c>
      <c r="B147" s="8" t="str">
        <f aca="false">INDEX(Work_Items!$D$2:$D$300,MATCH(A147,Work_Items!$A$2:$A$300,0))</f>
        <v>Wall tiles (bath full height, kitchen backsplash)</v>
      </c>
      <c r="C147" s="6" t="s">
        <v>840</v>
      </c>
      <c r="D147" s="8" t="str">
        <f aca="false">INDEX(Material_Master!$D$2:$D$1000,MATCH(C147,Material_Master!$A$2:$A$1000,0))</f>
        <v>Tile grout (cementitious / epoxy)</v>
      </c>
      <c r="E147" s="6" t="s">
        <v>3014</v>
      </c>
      <c r="F147" s="6"/>
      <c r="G147" s="6"/>
      <c r="H147" s="9" t="n">
        <f aca="false">Coefficients!$D$107</f>
        <v>0.03</v>
      </c>
      <c r="I147" s="6" t="s">
        <v>2944</v>
      </c>
      <c r="J147" s="6"/>
      <c r="K147" s="8" t="str">
        <f aca="false">INDEX(Material_Master!$F$2:$F$1000,MATCH(C147,Material_Master!$A$2:$A$1000,0))</f>
        <v>kg</v>
      </c>
      <c r="L147" s="10" t="n">
        <f aca="false">INDEX(Material_Master!$Q$2:$Q$1000,MATCH(C147,Material_Master!$A$2:$A$1000,0))</f>
        <v>0.1</v>
      </c>
    </row>
    <row r="148" customFormat="false" ht="22.35" hidden="false" customHeight="false" outlineLevel="0" collapsed="false">
      <c r="A148" s="6" t="s">
        <v>789</v>
      </c>
      <c r="B148" s="8" t="str">
        <f aca="false">INDEX(Work_Items!$D$2:$D$300,MATCH(A148,Work_Items!$A$2:$A$300,0))</f>
        <v>Wall tiles (bath full height, kitchen backsplash)</v>
      </c>
      <c r="C148" s="6" t="s">
        <v>850</v>
      </c>
      <c r="D148" s="8" t="str">
        <f aca="false">INDEX(Material_Master!$D$2:$D$1000,MATCH(C148,Material_Master!$A$2:$A$1000,0))</f>
        <v>Tile spacers / levelling clips</v>
      </c>
      <c r="E148" s="6" t="s">
        <v>3015</v>
      </c>
      <c r="F148" s="6"/>
      <c r="G148" s="6"/>
      <c r="H148" s="9" t="n">
        <f aca="false">Coefficients!$D$108</f>
        <v>1.5</v>
      </c>
      <c r="I148" s="6" t="s">
        <v>2967</v>
      </c>
      <c r="J148" s="6"/>
      <c r="K148" s="8" t="str">
        <f aca="false">INDEX(Material_Master!$F$2:$F$1000,MATCH(C148,Material_Master!$A$2:$A$1000,0))</f>
        <v>Nos</v>
      </c>
      <c r="L148" s="10" t="n">
        <f aca="false">INDEX(Material_Master!$Q$2:$Q$1000,MATCH(C148,Material_Master!$A$2:$A$1000,0))</f>
        <v>0.05</v>
      </c>
    </row>
    <row r="149" customFormat="false" ht="22.35" hidden="false" customHeight="false" outlineLevel="0" collapsed="false">
      <c r="A149" s="6" t="s">
        <v>243</v>
      </c>
      <c r="B149" s="8" t="str">
        <f aca="false">INDEX(Work_Items!$D$2:$D$300,MATCH(A149,Work_Items!$A$2:$A$300,0))</f>
        <v>Marble flooring (stairs landings, lobby, optional rooms)</v>
      </c>
      <c r="C149" s="6" t="s">
        <v>791</v>
      </c>
      <c r="D149" s="8" t="str">
        <f aca="false">INDEX(Material_Master!$D$2:$D$1000,MATCH(C149,Material_Master!$A$2:$A$1000,0))</f>
        <v>Marble flooring slabs/tiles 3/4in</v>
      </c>
      <c r="E149" s="6" t="s">
        <v>2914</v>
      </c>
      <c r="F149" s="6"/>
      <c r="G149" s="6"/>
      <c r="H149" s="9" t="n">
        <f aca="false">Coefficients!$D$2</f>
        <v>1</v>
      </c>
      <c r="I149" s="6" t="s">
        <v>2925</v>
      </c>
      <c r="J149" s="6"/>
      <c r="K149" s="8" t="str">
        <f aca="false">INDEX(Material_Master!$F$2:$F$1000,MATCH(C149,Material_Master!$A$2:$A$1000,0))</f>
        <v>sft</v>
      </c>
      <c r="L149" s="10" t="n">
        <f aca="false">INDEX(Material_Master!$Q$2:$Q$1000,MATCH(C149,Material_Master!$A$2:$A$1000,0))</f>
        <v>0.1</v>
      </c>
    </row>
    <row r="150" customFormat="false" ht="22.35" hidden="false" customHeight="false" outlineLevel="0" collapsed="false">
      <c r="A150" s="6" t="s">
        <v>243</v>
      </c>
      <c r="B150" s="8" t="str">
        <f aca="false">INDEX(Work_Items!$D$2:$D$300,MATCH(A150,Work_Items!$A$2:$A$300,0))</f>
        <v>Marble flooring (stairs landings, lobby, optional rooms)</v>
      </c>
      <c r="C150" s="6" t="s">
        <v>211</v>
      </c>
      <c r="D150" s="8" t="str">
        <f aca="false">INDEX(Material_Master!$D$2:$D$1000,MATCH(C150,Material_Master!$A$2:$A$1000,0))</f>
        <v>Ordinary Portland Cement (OPC) - 50 kg bag</v>
      </c>
      <c r="E150" s="6" t="s">
        <v>3012</v>
      </c>
      <c r="F150" s="6" t="s">
        <v>2979</v>
      </c>
      <c r="G150" s="6" t="s">
        <v>2928</v>
      </c>
      <c r="H150" s="9" t="n">
        <f aca="false">Coefficients!$D$41*Mix_Design!$J$8</f>
        <v>0.018077457829176</v>
      </c>
      <c r="I150" s="6" t="s">
        <v>2941</v>
      </c>
      <c r="J150" s="6"/>
      <c r="K150" s="8" t="str">
        <f aca="false">INDEX(Material_Master!$F$2:$F$1000,MATCH(C150,Material_Master!$A$2:$A$1000,0))</f>
        <v>bag</v>
      </c>
      <c r="L150" s="10" t="n">
        <f aca="false">INDEX(Material_Master!$Q$2:$Q$1000,MATCH(C150,Material_Master!$A$2:$A$1000,0))</f>
        <v>0.02</v>
      </c>
    </row>
    <row r="151" customFormat="false" ht="22.35" hidden="false" customHeight="false" outlineLevel="0" collapsed="false">
      <c r="A151" s="6" t="s">
        <v>243</v>
      </c>
      <c r="B151" s="8" t="str">
        <f aca="false">INDEX(Work_Items!$D$2:$D$300,MATCH(A151,Work_Items!$A$2:$A$300,0))</f>
        <v>Marble flooring (stairs landings, lobby, optional rooms)</v>
      </c>
      <c r="C151" s="6" t="s">
        <v>258</v>
      </c>
      <c r="D151" s="8" t="str">
        <f aca="false">INDEX(Material_Master!$D$2:$D$1000,MATCH(C151,Material_Master!$A$2:$A$1000,0))</f>
        <v>Sand for masonry &amp; plaster</v>
      </c>
      <c r="E151" s="6" t="s">
        <v>3012</v>
      </c>
      <c r="F151" s="6" t="s">
        <v>2979</v>
      </c>
      <c r="G151" s="6" t="s">
        <v>2930</v>
      </c>
      <c r="H151" s="9" t="n">
        <f aca="false">Coefficients!$D$41*Mix_Design!$K$8</f>
        <v>0.0886666666666667</v>
      </c>
      <c r="I151" s="6" t="s">
        <v>2942</v>
      </c>
      <c r="J151" s="6"/>
      <c r="K151" s="8" t="str">
        <f aca="false">INDEX(Material_Master!$F$2:$F$1000,MATCH(C151,Material_Master!$A$2:$A$1000,0))</f>
        <v>cft</v>
      </c>
      <c r="L151" s="10" t="n">
        <f aca="false">INDEX(Material_Master!$Q$2:$Q$1000,MATCH(C151,Material_Master!$A$2:$A$1000,0))</f>
        <v>0.1</v>
      </c>
    </row>
    <row r="152" customFormat="false" ht="22.35" hidden="false" customHeight="false" outlineLevel="0" collapsed="false">
      <c r="A152" s="6" t="s">
        <v>243</v>
      </c>
      <c r="B152" s="8" t="str">
        <f aca="false">INDEX(Work_Items!$D$2:$D$300,MATCH(A152,Work_Items!$A$2:$A$300,0))</f>
        <v>Marble flooring (stairs landings, lobby, optional rooms)</v>
      </c>
      <c r="C152" s="6" t="s">
        <v>235</v>
      </c>
      <c r="D152" s="8" t="str">
        <f aca="false">INDEX(Material_Master!$D$2:$D$1000,MATCH(C152,Material_Master!$A$2:$A$1000,0))</f>
        <v>White cement</v>
      </c>
      <c r="E152" s="6" t="s">
        <v>3018</v>
      </c>
      <c r="F152" s="6"/>
      <c r="G152" s="6"/>
      <c r="H152" s="9" t="n">
        <f aca="false">Coefficients!$D$109</f>
        <v>0.05</v>
      </c>
      <c r="I152" s="6" t="s">
        <v>2944</v>
      </c>
      <c r="J152" s="6"/>
      <c r="K152" s="8" t="str">
        <f aca="false">INDEX(Material_Master!$F$2:$F$1000,MATCH(C152,Material_Master!$A$2:$A$1000,0))</f>
        <v>kg</v>
      </c>
      <c r="L152" s="10" t="n">
        <f aca="false">INDEX(Material_Master!$Q$2:$Q$1000,MATCH(C152,Material_Master!$A$2:$A$1000,0))</f>
        <v>0.02</v>
      </c>
    </row>
    <row r="153" customFormat="false" ht="22.35" hidden="false" customHeight="false" outlineLevel="0" collapsed="false">
      <c r="A153" s="6" t="s">
        <v>243</v>
      </c>
      <c r="B153" s="8" t="str">
        <f aca="false">INDEX(Work_Items!$D$2:$D$300,MATCH(A153,Work_Items!$A$2:$A$300,0))</f>
        <v>Marble flooring (stairs landings, lobby, optional rooms)</v>
      </c>
      <c r="C153" s="6" t="s">
        <v>861</v>
      </c>
      <c r="D153" s="8" t="str">
        <f aca="false">INDEX(Material_Master!$D$2:$D$1000,MATCH(C153,Material_Master!$A$2:$A$1000,0))</f>
        <v>Marble grinding &amp; polishing (service + consumables)</v>
      </c>
      <c r="E153" s="6" t="s">
        <v>2914</v>
      </c>
      <c r="F153" s="6"/>
      <c r="G153" s="6"/>
      <c r="H153" s="9" t="n">
        <f aca="false">Coefficients!$D$2</f>
        <v>1</v>
      </c>
      <c r="I153" s="6" t="s">
        <v>2925</v>
      </c>
      <c r="J153" s="6" t="s">
        <v>3019</v>
      </c>
      <c r="K153" s="8" t="str">
        <f aca="false">INDEX(Material_Master!$F$2:$F$1000,MATCH(C153,Material_Master!$A$2:$A$1000,0))</f>
        <v>sft</v>
      </c>
      <c r="L153" s="10" t="n">
        <f aca="false">INDEX(Material_Master!$Q$2:$Q$1000,MATCH(C153,Material_Master!$A$2:$A$1000,0))</f>
        <v>0</v>
      </c>
    </row>
    <row r="154" customFormat="false" ht="15" hidden="false" customHeight="false" outlineLevel="0" collapsed="false">
      <c r="A154" s="6" t="s">
        <v>820</v>
      </c>
      <c r="B154" s="8" t="str">
        <f aca="false">INDEX(Work_Items!$D$2:$D$300,MATCH(A154,Work_Items!$A$2:$A$300,0))</f>
        <v>Skirting 4in</v>
      </c>
      <c r="C154" s="6" t="s">
        <v>813</v>
      </c>
      <c r="D154" s="8" t="str">
        <f aca="false">INDEX(Material_Master!$D$2:$D$1000,MATCH(C154,Material_Master!$A$2:$A$1000,0))</f>
        <v>Skirting 4in (tile cut / marble strip)</v>
      </c>
      <c r="E154" s="6" t="s">
        <v>3020</v>
      </c>
      <c r="F154" s="6"/>
      <c r="G154" s="6"/>
      <c r="H154" s="9" t="n">
        <f aca="false">Coefficients!$D$111</f>
        <v>0.333333333333333</v>
      </c>
      <c r="I154" s="6" t="s">
        <v>3021</v>
      </c>
      <c r="J154" s="6"/>
      <c r="K154" s="8" t="str">
        <f aca="false">INDEX(Material_Master!$F$2:$F$1000,MATCH(C154,Material_Master!$A$2:$A$1000,0))</f>
        <v>sft</v>
      </c>
      <c r="L154" s="10" t="n">
        <f aca="false">INDEX(Material_Master!$Q$2:$Q$1000,MATCH(C154,Material_Master!$A$2:$A$1000,0))</f>
        <v>0.07</v>
      </c>
    </row>
    <row r="155" customFormat="false" ht="15" hidden="false" customHeight="false" outlineLevel="0" collapsed="false">
      <c r="A155" s="6" t="s">
        <v>820</v>
      </c>
      <c r="B155" s="8" t="str">
        <f aca="false">INDEX(Work_Items!$D$2:$D$300,MATCH(A155,Work_Items!$A$2:$A$300,0))</f>
        <v>Skirting 4in</v>
      </c>
      <c r="C155" s="6" t="s">
        <v>830</v>
      </c>
      <c r="D155" s="8" t="str">
        <f aca="false">INDEX(Material_Master!$D$2:$D$1000,MATCH(C155,Material_Master!$A$2:$A$1000,0))</f>
        <v>Cement-based tile adhesive (C1/C2)</v>
      </c>
      <c r="E155" s="6" t="s">
        <v>3022</v>
      </c>
      <c r="F155" s="6"/>
      <c r="G155" s="6"/>
      <c r="H155" s="9" t="n">
        <f aca="false">Coefficients!$D$230</f>
        <v>0.14</v>
      </c>
      <c r="I155" s="6" t="s">
        <v>3023</v>
      </c>
      <c r="J155" s="6"/>
      <c r="K155" s="8" t="str">
        <f aca="false">INDEX(Material_Master!$F$2:$F$1000,MATCH(C155,Material_Master!$A$2:$A$1000,0))</f>
        <v>kg</v>
      </c>
      <c r="L155" s="10" t="n">
        <f aca="false">INDEX(Material_Master!$Q$2:$Q$1000,MATCH(C155,Material_Master!$A$2:$A$1000,0))</f>
        <v>0.05</v>
      </c>
    </row>
    <row r="156" customFormat="false" ht="15" hidden="false" customHeight="false" outlineLevel="0" collapsed="false">
      <c r="A156" s="6" t="s">
        <v>811</v>
      </c>
      <c r="B156" s="8" t="str">
        <f aca="false">INDEX(Work_Items!$D$2:$D$300,MATCH(A156,Work_Items!$A$2:$A$300,0))</f>
        <v>Stair treads &amp; risers marble</v>
      </c>
      <c r="C156" s="6" t="s">
        <v>804</v>
      </c>
      <c r="D156" s="8" t="str">
        <f aca="false">INDEX(Material_Master!$D$2:$D$1000,MATCH(C156,Material_Master!$A$2:$A$1000,0))</f>
        <v>Marble/granite for stair treads &amp; risers</v>
      </c>
      <c r="E156" s="6" t="s">
        <v>3024</v>
      </c>
      <c r="F156" s="6"/>
      <c r="G156" s="6"/>
      <c r="H156" s="9" t="n">
        <f aca="false">Coefficients!$D$114</f>
        <v>1.5</v>
      </c>
      <c r="I156" s="6" t="s">
        <v>3021</v>
      </c>
      <c r="J156" s="6"/>
      <c r="K156" s="8" t="str">
        <f aca="false">INDEX(Material_Master!$F$2:$F$1000,MATCH(C156,Material_Master!$A$2:$A$1000,0))</f>
        <v>sft</v>
      </c>
      <c r="L156" s="10" t="n">
        <f aca="false">INDEX(Material_Master!$Q$2:$Q$1000,MATCH(C156,Material_Master!$A$2:$A$1000,0))</f>
        <v>0.1</v>
      </c>
    </row>
    <row r="157" customFormat="false" ht="15" hidden="false" customHeight="false" outlineLevel="0" collapsed="false">
      <c r="A157" s="6" t="s">
        <v>811</v>
      </c>
      <c r="B157" s="8" t="str">
        <f aca="false">INDEX(Work_Items!$D$2:$D$300,MATCH(A157,Work_Items!$A$2:$A$300,0))</f>
        <v>Stair treads &amp; risers marble</v>
      </c>
      <c r="C157" s="6" t="s">
        <v>882</v>
      </c>
      <c r="D157" s="8" t="str">
        <f aca="false">INDEX(Material_Master!$D$2:$D$1000,MATCH(C157,Material_Master!$A$2:$A$1000,0))</f>
        <v>Anti-slip stair nosing</v>
      </c>
      <c r="E157" s="6" t="s">
        <v>2914</v>
      </c>
      <c r="F157" s="6"/>
      <c r="G157" s="6"/>
      <c r="H157" s="9" t="n">
        <f aca="false">Coefficients!$D$2</f>
        <v>1</v>
      </c>
      <c r="I157" s="6" t="s">
        <v>3025</v>
      </c>
      <c r="J157" s="6"/>
      <c r="K157" s="8" t="str">
        <f aca="false">INDEX(Material_Master!$F$2:$F$1000,MATCH(C157,Material_Master!$A$2:$A$1000,0))</f>
        <v>rft</v>
      </c>
      <c r="L157" s="10" t="n">
        <f aca="false">INDEX(Material_Master!$Q$2:$Q$1000,MATCH(C157,Material_Master!$A$2:$A$1000,0))</f>
        <v>0.05</v>
      </c>
    </row>
    <row r="158" customFormat="false" ht="22.35" hidden="false" customHeight="false" outlineLevel="0" collapsed="false">
      <c r="A158" s="6" t="s">
        <v>2239</v>
      </c>
      <c r="B158" s="8" t="str">
        <f aca="false">INDEX(Work_Items!$D$2:$D$300,MATCH(A158,Work_Items!$A$2:$A$300,0))</f>
        <v>Outdoor pavers / tiles (porch, driveway, terraces)</v>
      </c>
      <c r="C158" s="6" t="s">
        <v>2231</v>
      </c>
      <c r="D158" s="8" t="str">
        <f aca="false">INDEX(Material_Master!$D$2:$D$1000,MATCH(C158,Material_Master!$A$2:$A$1000,0))</f>
        <v>Paving: concrete interlocking pavers / exterior tiles / stamped concrete</v>
      </c>
      <c r="E158" s="6" t="s">
        <v>2914</v>
      </c>
      <c r="F158" s="6"/>
      <c r="G158" s="6"/>
      <c r="H158" s="9" t="n">
        <f aca="false">Coefficients!$D$2</f>
        <v>1</v>
      </c>
      <c r="I158" s="6" t="s">
        <v>2925</v>
      </c>
      <c r="J158" s="6"/>
      <c r="K158" s="8" t="str">
        <f aca="false">INDEX(Material_Master!$F$2:$F$1000,MATCH(C158,Material_Master!$A$2:$A$1000,0))</f>
        <v>sft</v>
      </c>
      <c r="L158" s="10" t="n">
        <f aca="false">INDEX(Material_Master!$Q$2:$Q$1000,MATCH(C158,Material_Master!$A$2:$A$1000,0))</f>
        <v>0.07</v>
      </c>
    </row>
    <row r="159" customFormat="false" ht="22.35" hidden="false" customHeight="false" outlineLevel="0" collapsed="false">
      <c r="A159" s="6" t="s">
        <v>2239</v>
      </c>
      <c r="B159" s="8" t="str">
        <f aca="false">INDEX(Work_Items!$D$2:$D$300,MATCH(A159,Work_Items!$A$2:$A$300,0))</f>
        <v>Outdoor pavers / tiles (porch, driveway, terraces)</v>
      </c>
      <c r="C159" s="6" t="s">
        <v>2247</v>
      </c>
      <c r="D159" s="8" t="str">
        <f aca="false">INDEX(Material_Master!$D$2:$D$1000,MATCH(C159,Material_Master!$A$2:$A$1000,0))</f>
        <v>Sand bedding for pavers (2in compacted)</v>
      </c>
      <c r="E159" s="6" t="s">
        <v>3026</v>
      </c>
      <c r="F159" s="6"/>
      <c r="G159" s="6"/>
      <c r="H159" s="9" t="n">
        <f aca="false">Coefficients!$D$116</f>
        <v>0.191666666666667</v>
      </c>
      <c r="I159" s="6" t="s">
        <v>2942</v>
      </c>
      <c r="J159" s="6"/>
      <c r="K159" s="8" t="str">
        <f aca="false">INDEX(Material_Master!$F$2:$F$1000,MATCH(C159,Material_Master!$A$2:$A$1000,0))</f>
        <v>cft</v>
      </c>
      <c r="L159" s="10" t="n">
        <f aca="false">INDEX(Material_Master!$Q$2:$Q$1000,MATCH(C159,Material_Master!$A$2:$A$1000,0))</f>
        <v>0.1</v>
      </c>
    </row>
    <row r="160" customFormat="false" ht="15" hidden="false" customHeight="false" outlineLevel="0" collapsed="false">
      <c r="A160" s="6" t="s">
        <v>828</v>
      </c>
      <c r="B160" s="8" t="str">
        <f aca="false">INDEX(Work_Items!$D$2:$D$300,MATCH(A160,Work_Items!$A$2:$A$300,0))</f>
        <v>Window sills &amp; door thresholds (marble)</v>
      </c>
      <c r="C160" s="6" t="s">
        <v>821</v>
      </c>
      <c r="D160" s="8" t="str">
        <f aca="false">INDEX(Material_Master!$D$2:$D$1000,MATCH(C160,Material_Master!$A$2:$A$1000,0))</f>
        <v>Marble window sills &amp; door thresholds</v>
      </c>
      <c r="E160" s="6" t="s">
        <v>3027</v>
      </c>
      <c r="F160" s="6"/>
      <c r="G160" s="6"/>
      <c r="H160" s="9" t="n">
        <f aca="false">Coefficients!$D$115</f>
        <v>0.75</v>
      </c>
      <c r="I160" s="6" t="s">
        <v>3021</v>
      </c>
      <c r="J160" s="6"/>
      <c r="K160" s="8" t="str">
        <f aca="false">INDEX(Material_Master!$F$2:$F$1000,MATCH(C160,Material_Master!$A$2:$A$1000,0))</f>
        <v>sft</v>
      </c>
      <c r="L160" s="10" t="n">
        <f aca="false">INDEX(Material_Master!$Q$2:$Q$1000,MATCH(C160,Material_Master!$A$2:$A$1000,0))</f>
        <v>0.1</v>
      </c>
    </row>
    <row r="161" customFormat="false" ht="22.35" hidden="false" customHeight="false" outlineLevel="0" collapsed="false">
      <c r="A161" s="6" t="s">
        <v>895</v>
      </c>
      <c r="B161" s="8" t="str">
        <f aca="false">INDEX(Work_Items!$D$2:$D$300,MATCH(A161,Work_Items!$A$2:$A$300,0))</f>
        <v>Door frames (chogath) solid wood</v>
      </c>
      <c r="C161" s="6" t="s">
        <v>886</v>
      </c>
      <c r="D161" s="8" t="str">
        <f aca="false">INDEX(Material_Master!$D$2:$D$1000,MATCH(C161,Material_Master!$A$2:$A$1000,0))</f>
        <v>Door frame (chogath) - solid seasoned hardwood</v>
      </c>
      <c r="E161" s="6" t="s">
        <v>3028</v>
      </c>
      <c r="F161" s="6"/>
      <c r="G161" s="6"/>
      <c r="H161" s="9" t="n">
        <f aca="false">Coefficients!$D$119</f>
        <v>0.0954861111111111</v>
      </c>
      <c r="I161" s="6" t="s">
        <v>3029</v>
      </c>
      <c r="J161" s="6"/>
      <c r="K161" s="8" t="str">
        <f aca="false">INDEX(Material_Master!$F$2:$F$1000,MATCH(C161,Material_Master!$A$2:$A$1000,0))</f>
        <v>cft</v>
      </c>
      <c r="L161" s="10" t="n">
        <f aca="false">INDEX(Material_Master!$Q$2:$Q$1000,MATCH(C161,Material_Master!$A$2:$A$1000,0))</f>
        <v>0.15</v>
      </c>
    </row>
    <row r="162" customFormat="false" ht="15" hidden="false" customHeight="false" outlineLevel="0" collapsed="false">
      <c r="A162" s="6" t="s">
        <v>895</v>
      </c>
      <c r="B162" s="8" t="str">
        <f aca="false">INDEX(Work_Items!$D$2:$D$300,MATCH(A162,Work_Items!$A$2:$A$300,0))</f>
        <v>Door frames (chogath) solid wood</v>
      </c>
      <c r="C162" s="6" t="s">
        <v>946</v>
      </c>
      <c r="D162" s="8" t="str">
        <f aca="false">INDEX(Material_Master!$D$2:$D$1000,MATCH(C162,Material_Master!$A$2:$A$1000,0))</f>
        <v>Holdfasts / MS clamps for frames</v>
      </c>
      <c r="E162" s="6" t="s">
        <v>3030</v>
      </c>
      <c r="F162" s="6"/>
      <c r="G162" s="6"/>
      <c r="H162" s="9" t="n">
        <f aca="false">Coefficients!$D$120</f>
        <v>0.35</v>
      </c>
      <c r="I162" s="6" t="s">
        <v>3031</v>
      </c>
      <c r="J162" s="6"/>
      <c r="K162" s="8" t="str">
        <f aca="false">INDEX(Material_Master!$F$2:$F$1000,MATCH(C162,Material_Master!$A$2:$A$1000,0))</f>
        <v>Nos</v>
      </c>
      <c r="L162" s="10" t="n">
        <f aca="false">INDEX(Material_Master!$Q$2:$Q$1000,MATCH(C162,Material_Master!$A$2:$A$1000,0))</f>
        <v>0.05</v>
      </c>
    </row>
    <row r="163" customFormat="false" ht="22.35" hidden="false" customHeight="false" outlineLevel="0" collapsed="false">
      <c r="A163" s="6" t="s">
        <v>905</v>
      </c>
      <c r="B163" s="8" t="str">
        <f aca="false">INDEX(Work_Items!$D$2:$D$300,MATCH(A163,Work_Items!$A$2:$A$300,0))</f>
        <v>Door shutters</v>
      </c>
      <c r="C163" s="6" t="s">
        <v>898</v>
      </c>
      <c r="D163" s="8" t="str">
        <f aca="false">INDEX(Material_Master!$D$2:$D$1000,MATCH(C163,Material_Master!$A$2:$A$1000,0))</f>
        <v>Solid/semi-solid wood panel door shutter 1.75in</v>
      </c>
      <c r="E163" s="6" t="s">
        <v>2914</v>
      </c>
      <c r="F163" s="6"/>
      <c r="G163" s="6"/>
      <c r="H163" s="9" t="n">
        <f aca="false">Coefficients!$D$2</f>
        <v>1</v>
      </c>
      <c r="I163" s="6" t="s">
        <v>2925</v>
      </c>
      <c r="J163" s="6" t="s">
        <v>3032</v>
      </c>
      <c r="K163" s="8" t="str">
        <f aca="false">INDEX(Material_Master!$F$2:$F$1000,MATCH(C163,Material_Master!$A$2:$A$1000,0))</f>
        <v>sft</v>
      </c>
      <c r="L163" s="10" t="n">
        <f aca="false">INDEX(Material_Master!$Q$2:$Q$1000,MATCH(C163,Material_Master!$A$2:$A$1000,0))</f>
        <v>0.15</v>
      </c>
    </row>
    <row r="164" customFormat="false" ht="15" hidden="false" customHeight="false" outlineLevel="0" collapsed="false">
      <c r="A164" s="6" t="s">
        <v>937</v>
      </c>
      <c r="B164" s="8" t="str">
        <f aca="false">INDEX(Work_Items!$D$2:$D$300,MATCH(A164,Work_Items!$A$2:$A$300,0))</f>
        <v>Door hardware sets</v>
      </c>
      <c r="C164" s="6" t="s">
        <v>928</v>
      </c>
      <c r="D164" s="8" t="str">
        <f aca="false">INDEX(Material_Master!$D$2:$D$1000,MATCH(C164,Material_Master!$A$2:$A$1000,0))</f>
        <v>Door hardware set per leaf</v>
      </c>
      <c r="E164" s="6" t="s">
        <v>2914</v>
      </c>
      <c r="F164" s="6"/>
      <c r="G164" s="6"/>
      <c r="H164" s="9" t="n">
        <f aca="false">Coefficients!$D$2</f>
        <v>1</v>
      </c>
      <c r="I164" s="6" t="s">
        <v>3033</v>
      </c>
      <c r="J164" s="6"/>
      <c r="K164" s="8" t="str">
        <f aca="false">INDEX(Material_Master!$F$2:$F$1000,MATCH(C164,Material_Master!$A$2:$A$1000,0))</f>
        <v>set</v>
      </c>
      <c r="L164" s="10" t="n">
        <f aca="false">INDEX(Material_Master!$Q$2:$Q$1000,MATCH(C164,Material_Master!$A$2:$A$1000,0))</f>
        <v>0</v>
      </c>
    </row>
    <row r="165" customFormat="false" ht="15" hidden="false" customHeight="false" outlineLevel="0" collapsed="false">
      <c r="A165" s="6" t="s">
        <v>959</v>
      </c>
      <c r="B165" s="8" t="str">
        <f aca="false">INDEX(Work_Items!$D$2:$D$300,MATCH(A165,Work_Items!$A$2:$A$300,0))</f>
        <v>Aluminium/uPVC windows with glazing</v>
      </c>
      <c r="C165" s="6" t="s">
        <v>951</v>
      </c>
      <c r="D165" s="8" t="str">
        <f aca="false">INDEX(Material_Master!$D$2:$D$1000,MATCH(C165,Material_Master!$A$2:$A$1000,0))</f>
        <v>Aluminium windows (sliding/casement/fixed)</v>
      </c>
      <c r="E165" s="6" t="s">
        <v>2914</v>
      </c>
      <c r="F165" s="6"/>
      <c r="G165" s="6"/>
      <c r="H165" s="9" t="n">
        <f aca="false">Coefficients!$D$2</f>
        <v>1</v>
      </c>
      <c r="I165" s="6" t="s">
        <v>2925</v>
      </c>
      <c r="J165" s="6"/>
      <c r="K165" s="8" t="str">
        <f aca="false">INDEX(Material_Master!$F$2:$F$1000,MATCH(C165,Material_Master!$A$2:$A$1000,0))</f>
        <v>sft</v>
      </c>
      <c r="L165" s="10" t="n">
        <f aca="false">INDEX(Material_Master!$Q$2:$Q$1000,MATCH(C165,Material_Master!$A$2:$A$1000,0))</f>
        <v>0.05</v>
      </c>
    </row>
    <row r="166" customFormat="false" ht="22.35" hidden="false" customHeight="false" outlineLevel="0" collapsed="false">
      <c r="A166" s="6" t="s">
        <v>959</v>
      </c>
      <c r="B166" s="8" t="str">
        <f aca="false">INDEX(Work_Items!$D$2:$D$300,MATCH(A166,Work_Items!$A$2:$A$300,0))</f>
        <v>Aluminium/uPVC windows with glazing</v>
      </c>
      <c r="C166" s="6" t="s">
        <v>971</v>
      </c>
      <c r="D166" s="8" t="str">
        <f aca="false">INDEX(Material_Master!$D$2:$D$1000,MATCH(C166,Material_Master!$A$2:$A$1000,0))</f>
        <v>Float glass 5-6 mm (clear/tinted/reflective/frosted)</v>
      </c>
      <c r="E166" s="6" t="s">
        <v>3034</v>
      </c>
      <c r="F166" s="6"/>
      <c r="G166" s="6"/>
      <c r="H166" s="9" t="n">
        <f aca="false">Coefficients!$D$121</f>
        <v>0.8</v>
      </c>
      <c r="I166" s="6" t="s">
        <v>2925</v>
      </c>
      <c r="J166" s="6"/>
      <c r="K166" s="8" t="str">
        <f aca="false">INDEX(Material_Master!$F$2:$F$1000,MATCH(C166,Material_Master!$A$2:$A$1000,0))</f>
        <v>sft</v>
      </c>
      <c r="L166" s="10" t="n">
        <f aca="false">INDEX(Material_Master!$Q$2:$Q$1000,MATCH(C166,Material_Master!$A$2:$A$1000,0))</f>
        <v>0.05</v>
      </c>
    </row>
    <row r="167" customFormat="false" ht="15" hidden="false" customHeight="false" outlineLevel="0" collapsed="false">
      <c r="A167" s="6" t="s">
        <v>959</v>
      </c>
      <c r="B167" s="8" t="str">
        <f aca="false">INDEX(Work_Items!$D$2:$D$300,MATCH(A167,Work_Items!$A$2:$A$300,0))</f>
        <v>Aluminium/uPVC windows with glazing</v>
      </c>
      <c r="C167" s="6" t="s">
        <v>995</v>
      </c>
      <c r="D167" s="8" t="str">
        <f aca="false">INDEX(Material_Master!$D$2:$D$1000,MATCH(C167,Material_Master!$A$2:$A$1000,0))</f>
        <v>Mosquito net with aluminium frame</v>
      </c>
      <c r="E167" s="6" t="s">
        <v>3035</v>
      </c>
      <c r="F167" s="6"/>
      <c r="G167" s="6"/>
      <c r="H167" s="9" t="n">
        <f aca="false">Coefficients!$D$122</f>
        <v>0.5</v>
      </c>
      <c r="I167" s="6" t="s">
        <v>2925</v>
      </c>
      <c r="J167" s="6"/>
      <c r="K167" s="8" t="str">
        <f aca="false">INDEX(Material_Master!$F$2:$F$1000,MATCH(C167,Material_Master!$A$2:$A$1000,0))</f>
        <v>sft</v>
      </c>
      <c r="L167" s="10" t="n">
        <f aca="false">INDEX(Material_Master!$Q$2:$Q$1000,MATCH(C167,Material_Master!$A$2:$A$1000,0))</f>
        <v>0.05</v>
      </c>
    </row>
    <row r="168" customFormat="false" ht="15" hidden="false" customHeight="false" outlineLevel="0" collapsed="false">
      <c r="A168" s="6" t="s">
        <v>959</v>
      </c>
      <c r="B168" s="8" t="str">
        <f aca="false">INDEX(Work_Items!$D$2:$D$300,MATCH(A168,Work_Items!$A$2:$A$300,0))</f>
        <v>Aluminium/uPVC windows with glazing</v>
      </c>
      <c r="C168" s="6" t="s">
        <v>1008</v>
      </c>
      <c r="D168" s="8" t="str">
        <f aca="false">INDEX(Material_Master!$D$2:$D$1000,MATCH(C168,Material_Master!$A$2:$A$1000,0))</f>
        <v>Silicone sealant (window perimeter)</v>
      </c>
      <c r="E168" s="6" t="s">
        <v>3036</v>
      </c>
      <c r="F168" s="6"/>
      <c r="G168" s="6"/>
      <c r="H168" s="9" t="n">
        <f aca="false">Coefficients!$D$124</f>
        <v>0.0740740740740741</v>
      </c>
      <c r="I168" s="6" t="s">
        <v>3037</v>
      </c>
      <c r="J168" s="6"/>
      <c r="K168" s="8" t="str">
        <f aca="false">INDEX(Material_Master!$F$2:$F$1000,MATCH(C168,Material_Master!$A$2:$A$1000,0))</f>
        <v>tube</v>
      </c>
      <c r="L168" s="10" t="n">
        <f aca="false">INDEX(Material_Master!$Q$2:$Q$1000,MATCH(C168,Material_Master!$A$2:$A$1000,0))</f>
        <v>0.05</v>
      </c>
    </row>
    <row r="169" customFormat="false" ht="15" hidden="false" customHeight="false" outlineLevel="0" collapsed="false">
      <c r="A169" s="6" t="s">
        <v>994</v>
      </c>
      <c r="B169" s="8" t="str">
        <f aca="false">INDEX(Work_Items!$D$2:$D$300,MATCH(A169,Work_Items!$A$2:$A$300,0))</f>
        <v>MS window grills</v>
      </c>
      <c r="C169" s="6" t="s">
        <v>987</v>
      </c>
      <c r="D169" s="8" t="str">
        <f aca="false">INDEX(Material_Master!$D$2:$D$1000,MATCH(C169,Material_Master!$A$2:$A$1000,0))</f>
        <v>MS window grills</v>
      </c>
      <c r="E169" s="6" t="s">
        <v>3038</v>
      </c>
      <c r="F169" s="6"/>
      <c r="G169" s="6"/>
      <c r="H169" s="9" t="n">
        <f aca="false">Coefficients!$D$125</f>
        <v>2</v>
      </c>
      <c r="I169" s="6" t="s">
        <v>2944</v>
      </c>
      <c r="J169" s="6"/>
      <c r="K169" s="8" t="str">
        <f aca="false">INDEX(Material_Master!$F$2:$F$1000,MATCH(C169,Material_Master!$A$2:$A$1000,0))</f>
        <v>kg</v>
      </c>
      <c r="L169" s="10" t="n">
        <f aca="false">INDEX(Material_Master!$Q$2:$Q$1000,MATCH(C169,Material_Master!$A$2:$A$1000,0))</f>
        <v>0.05</v>
      </c>
    </row>
    <row r="170" customFormat="false" ht="15" hidden="false" customHeight="false" outlineLevel="0" collapsed="false">
      <c r="A170" s="6" t="s">
        <v>1195</v>
      </c>
      <c r="B170" s="8" t="str">
        <f aca="false">INDEX(Work_Items!$D$2:$D$300,MATCH(A170,Work_Items!$A$2:$A$300,0))</f>
        <v>Stair &amp; balcony railings</v>
      </c>
      <c r="C170" s="6" t="s">
        <v>1189</v>
      </c>
      <c r="D170" s="8" t="str">
        <f aca="false">INDEX(Material_Master!$D$2:$D$1000,MATCH(C170,Material_Master!$A$2:$A$1000,0))</f>
        <v>Stair / balcony railing (SS 304, MS, or glass)</v>
      </c>
      <c r="E170" s="6" t="s">
        <v>2914</v>
      </c>
      <c r="F170" s="6"/>
      <c r="G170" s="6"/>
      <c r="H170" s="9" t="n">
        <f aca="false">Coefficients!$D$2</f>
        <v>1</v>
      </c>
      <c r="I170" s="6" t="s">
        <v>3025</v>
      </c>
      <c r="J170" s="6"/>
      <c r="K170" s="8" t="str">
        <f aca="false">INDEX(Material_Master!$F$2:$F$1000,MATCH(C170,Material_Master!$A$2:$A$1000,0))</f>
        <v>rft</v>
      </c>
      <c r="L170" s="10" t="n">
        <f aca="false">INDEX(Material_Master!$Q$2:$Q$1000,MATCH(C170,Material_Master!$A$2:$A$1000,0))</f>
        <v>0.05</v>
      </c>
    </row>
    <row r="171" customFormat="false" ht="22.35" hidden="false" customHeight="false" outlineLevel="0" collapsed="false">
      <c r="A171" s="6" t="s">
        <v>1205</v>
      </c>
      <c r="B171" s="8" t="str">
        <f aca="false">INDEX(Work_Items!$D$2:$D$300,MATCH(A171,Work_Items!$A$2:$A$300,0))</f>
        <v>Main gate MS</v>
      </c>
      <c r="C171" s="6" t="s">
        <v>1197</v>
      </c>
      <c r="D171" s="8" t="str">
        <f aca="false">INDEX(Material_Master!$D$2:$D$1000,MATCH(C171,Material_Master!$A$2:$A$1000,0))</f>
        <v>Main gate (MS sheet + pipe frame, sliding/swing)</v>
      </c>
      <c r="E171" s="6" t="s">
        <v>3039</v>
      </c>
      <c r="F171" s="6"/>
      <c r="G171" s="6"/>
      <c r="H171" s="9" t="n">
        <f aca="false">Coefficients!$D$126</f>
        <v>3</v>
      </c>
      <c r="I171" s="6" t="s">
        <v>2944</v>
      </c>
      <c r="J171" s="6"/>
      <c r="K171" s="8" t="str">
        <f aca="false">INDEX(Material_Master!$F$2:$F$1000,MATCH(C171,Material_Master!$A$2:$A$1000,0))</f>
        <v>kg</v>
      </c>
      <c r="L171" s="10" t="n">
        <f aca="false">INDEX(Material_Master!$Q$2:$Q$1000,MATCH(C171,Material_Master!$A$2:$A$1000,0))</f>
        <v>0.05</v>
      </c>
    </row>
    <row r="172" customFormat="false" ht="22.35" hidden="false" customHeight="false" outlineLevel="0" collapsed="false">
      <c r="A172" s="6" t="s">
        <v>1034</v>
      </c>
      <c r="B172" s="8" t="str">
        <f aca="false">INDEX(Work_Items!$D$2:$D$300,MATCH(A172,Work_Items!$A$2:$A$300,0))</f>
        <v>Gypsum board false ceiling (bulkhead/partial)</v>
      </c>
      <c r="C172" s="6" t="s">
        <v>1025</v>
      </c>
      <c r="D172" s="8" t="str">
        <f aca="false">INDEX(Material_Master!$D$2:$D$1000,MATCH(C172,Material_Master!$A$2:$A$1000,0))</f>
        <v>Gypsum board 12.5 mm (standard / MR in wet areas)</v>
      </c>
      <c r="E172" s="6" t="s">
        <v>2914</v>
      </c>
      <c r="F172" s="6"/>
      <c r="G172" s="6"/>
      <c r="H172" s="9" t="n">
        <f aca="false">Coefficients!$D$2</f>
        <v>1</v>
      </c>
      <c r="I172" s="6" t="s">
        <v>2925</v>
      </c>
      <c r="J172" s="6"/>
      <c r="K172" s="8" t="str">
        <f aca="false">INDEX(Material_Master!$F$2:$F$1000,MATCH(C172,Material_Master!$A$2:$A$1000,0))</f>
        <v>sft</v>
      </c>
      <c r="L172" s="10" t="n">
        <f aca="false">INDEX(Material_Master!$Q$2:$Q$1000,MATCH(C172,Material_Master!$A$2:$A$1000,0))</f>
        <v>0.08</v>
      </c>
    </row>
    <row r="173" customFormat="false" ht="22.35" hidden="false" customHeight="false" outlineLevel="0" collapsed="false">
      <c r="A173" s="6" t="s">
        <v>1034</v>
      </c>
      <c r="B173" s="8" t="str">
        <f aca="false">INDEX(Work_Items!$D$2:$D$300,MATCH(A173,Work_Items!$A$2:$A$300,0))</f>
        <v>Gypsum board false ceiling (bulkhead/partial)</v>
      </c>
      <c r="C173" s="6" t="s">
        <v>1037</v>
      </c>
      <c r="D173" s="8" t="str">
        <f aca="false">INDEX(Material_Master!$D$2:$D$1000,MATCH(C173,Material_Master!$A$2:$A$1000,0))</f>
        <v>GI ceiling framing (main channel, furring, wall angle, hangers)</v>
      </c>
      <c r="E173" s="6" t="s">
        <v>3040</v>
      </c>
      <c r="F173" s="6"/>
      <c r="G173" s="6"/>
      <c r="H173" s="9" t="n">
        <f aca="false">Coefficients!$D$144</f>
        <v>0.75</v>
      </c>
      <c r="I173" s="6" t="s">
        <v>2990</v>
      </c>
      <c r="J173" s="6"/>
      <c r="K173" s="8" t="str">
        <f aca="false">INDEX(Material_Master!$F$2:$F$1000,MATCH(C173,Material_Master!$A$2:$A$1000,0))</f>
        <v>rft</v>
      </c>
      <c r="L173" s="10" t="n">
        <f aca="false">INDEX(Material_Master!$Q$2:$Q$1000,MATCH(C173,Material_Master!$A$2:$A$1000,0))</f>
        <v>0.05</v>
      </c>
    </row>
    <row r="174" customFormat="false" ht="15" hidden="false" customHeight="false" outlineLevel="0" collapsed="false">
      <c r="A174" s="6" t="s">
        <v>1034</v>
      </c>
      <c r="B174" s="8" t="str">
        <f aca="false">INDEX(Work_Items!$D$2:$D$300,MATCH(A174,Work_Items!$A$2:$A$300,0))</f>
        <v>Gypsum board false ceiling (bulkhead/partial)</v>
      </c>
      <c r="C174" s="6" t="s">
        <v>1049</v>
      </c>
      <c r="D174" s="8" t="str">
        <f aca="false">INDEX(Material_Master!$D$2:$D$1000,MATCH(C174,Material_Master!$A$2:$A$1000,0))</f>
        <v>Joint tape &amp; jointing compound</v>
      </c>
      <c r="E174" s="6" t="s">
        <v>3041</v>
      </c>
      <c r="F174" s="6"/>
      <c r="G174" s="6"/>
      <c r="H174" s="9" t="n">
        <f aca="false">Coefficients!$D$145</f>
        <v>0.05</v>
      </c>
      <c r="I174" s="6" t="s">
        <v>2944</v>
      </c>
      <c r="J174" s="6"/>
      <c r="K174" s="8" t="str">
        <f aca="false">INDEX(Material_Master!$F$2:$F$1000,MATCH(C174,Material_Master!$A$2:$A$1000,0))</f>
        <v>kg</v>
      </c>
      <c r="L174" s="10" t="n">
        <f aca="false">INDEX(Material_Master!$Q$2:$Q$1000,MATCH(C174,Material_Master!$A$2:$A$1000,0))</f>
        <v>0.05</v>
      </c>
    </row>
    <row r="175" customFormat="false" ht="22.35" hidden="false" customHeight="false" outlineLevel="0" collapsed="false">
      <c r="A175" s="6" t="s">
        <v>1095</v>
      </c>
      <c r="B175" s="8" t="str">
        <f aca="false">INDEX(Work_Items!$D$2:$D$300,MATCH(A175,Work_Items!$A$2:$A$300,0))</f>
        <v>Interior walls: putty 2 coats + primer + emulsion 2 coats</v>
      </c>
      <c r="C175" s="6" t="s">
        <v>1067</v>
      </c>
      <c r="D175" s="8" t="str">
        <f aca="false">INDEX(Material_Master!$D$2:$D$1000,MATCH(C175,Material_Master!$A$2:$A$1000,0))</f>
        <v>Wall putty (acrylic or cement-based)</v>
      </c>
      <c r="E175" s="6" t="s">
        <v>3042</v>
      </c>
      <c r="F175" s="6"/>
      <c r="G175" s="6"/>
      <c r="H175" s="9" t="n">
        <f aca="false">Coefficients!$D$127</f>
        <v>0.08</v>
      </c>
      <c r="I175" s="6" t="s">
        <v>2944</v>
      </c>
      <c r="J175" s="6"/>
      <c r="K175" s="8" t="str">
        <f aca="false">INDEX(Material_Master!$F$2:$F$1000,MATCH(C175,Material_Master!$A$2:$A$1000,0))</f>
        <v>kg</v>
      </c>
      <c r="L175" s="10" t="n">
        <f aca="false">INDEX(Material_Master!$Q$2:$Q$1000,MATCH(C175,Material_Master!$A$2:$A$1000,0))</f>
        <v>0.05</v>
      </c>
    </row>
    <row r="176" customFormat="false" ht="22.35" hidden="false" customHeight="false" outlineLevel="0" collapsed="false">
      <c r="A176" s="6" t="s">
        <v>1095</v>
      </c>
      <c r="B176" s="8" t="str">
        <f aca="false">INDEX(Work_Items!$D$2:$D$300,MATCH(A176,Work_Items!$A$2:$A$300,0))</f>
        <v>Interior walls: putty 2 coats + primer + emulsion 2 coats</v>
      </c>
      <c r="C176" s="6" t="s">
        <v>1079</v>
      </c>
      <c r="D176" s="8" t="str">
        <f aca="false">INDEX(Material_Master!$D$2:$D$1000,MATCH(C176,Material_Master!$A$2:$A$1000,0))</f>
        <v>Alkali-resistant wall sealer/primer</v>
      </c>
      <c r="E176" s="6" t="s">
        <v>2997</v>
      </c>
      <c r="F176" s="6"/>
      <c r="G176" s="6"/>
      <c r="H176" s="9" t="n">
        <f aca="false">Coefficients!$D$136</f>
        <v>0.00285714285714286</v>
      </c>
      <c r="I176" s="6" t="s">
        <v>2998</v>
      </c>
      <c r="J176" s="6"/>
      <c r="K176" s="8" t="str">
        <f aca="false">INDEX(Material_Master!$F$2:$F$1000,MATCH(C176,Material_Master!$A$2:$A$1000,0))</f>
        <v>gal</v>
      </c>
      <c r="L176" s="10" t="n">
        <f aca="false">INDEX(Material_Master!$Q$2:$Q$1000,MATCH(C176,Material_Master!$A$2:$A$1000,0))</f>
        <v>0.05</v>
      </c>
    </row>
    <row r="177" customFormat="false" ht="22.35" hidden="false" customHeight="false" outlineLevel="0" collapsed="false">
      <c r="A177" s="6" t="s">
        <v>1095</v>
      </c>
      <c r="B177" s="8" t="str">
        <f aca="false">INDEX(Work_Items!$D$2:$D$300,MATCH(A177,Work_Items!$A$2:$A$300,0))</f>
        <v>Interior walls: putty 2 coats + primer + emulsion 2 coats</v>
      </c>
      <c r="C177" s="6" t="s">
        <v>1089</v>
      </c>
      <c r="D177" s="8" t="str">
        <f aca="false">INDEX(Material_Master!$D$2:$D$1000,MATCH(C177,Material_Master!$A$2:$A$1000,0))</f>
        <v>Plastic emulsion (interior matt/silk)</v>
      </c>
      <c r="E177" s="6" t="s">
        <v>3043</v>
      </c>
      <c r="F177" s="6"/>
      <c r="G177" s="6"/>
      <c r="H177" s="9" t="n">
        <f aca="false">Coefficients!$D$137</f>
        <v>0.00571428571428571</v>
      </c>
      <c r="I177" s="6" t="s">
        <v>2998</v>
      </c>
      <c r="J177" s="6"/>
      <c r="K177" s="8" t="str">
        <f aca="false">INDEX(Material_Master!$F$2:$F$1000,MATCH(C177,Material_Master!$A$2:$A$1000,0))</f>
        <v>gal</v>
      </c>
      <c r="L177" s="10" t="n">
        <f aca="false">INDEX(Material_Master!$Q$2:$Q$1000,MATCH(C177,Material_Master!$A$2:$A$1000,0))</f>
        <v>0.05</v>
      </c>
    </row>
    <row r="178" customFormat="false" ht="15" hidden="false" customHeight="false" outlineLevel="0" collapsed="false">
      <c r="A178" s="6" t="s">
        <v>1102</v>
      </c>
      <c r="B178" s="8" t="str">
        <f aca="false">INDEX(Work_Items!$D$2:$D$300,MATCH(A178,Work_Items!$A$2:$A$300,0))</f>
        <v>Ceilings: putty + primer + emulsion</v>
      </c>
      <c r="C178" s="6" t="s">
        <v>1067</v>
      </c>
      <c r="D178" s="8" t="str">
        <f aca="false">INDEX(Material_Master!$D$2:$D$1000,MATCH(C178,Material_Master!$A$2:$A$1000,0))</f>
        <v>Wall putty (acrylic or cement-based)</v>
      </c>
      <c r="E178" s="6" t="s">
        <v>3042</v>
      </c>
      <c r="F178" s="6"/>
      <c r="G178" s="6"/>
      <c r="H178" s="9" t="n">
        <f aca="false">Coefficients!$D$127</f>
        <v>0.08</v>
      </c>
      <c r="I178" s="6" t="s">
        <v>2944</v>
      </c>
      <c r="J178" s="6"/>
      <c r="K178" s="8" t="str">
        <f aca="false">INDEX(Material_Master!$F$2:$F$1000,MATCH(C178,Material_Master!$A$2:$A$1000,0))</f>
        <v>kg</v>
      </c>
      <c r="L178" s="10" t="n">
        <f aca="false">INDEX(Material_Master!$Q$2:$Q$1000,MATCH(C178,Material_Master!$A$2:$A$1000,0))</f>
        <v>0.05</v>
      </c>
    </row>
    <row r="179" customFormat="false" ht="15" hidden="false" customHeight="false" outlineLevel="0" collapsed="false">
      <c r="A179" s="6" t="s">
        <v>1102</v>
      </c>
      <c r="B179" s="8" t="str">
        <f aca="false">INDEX(Work_Items!$D$2:$D$300,MATCH(A179,Work_Items!$A$2:$A$300,0))</f>
        <v>Ceilings: putty + primer + emulsion</v>
      </c>
      <c r="C179" s="6" t="s">
        <v>1079</v>
      </c>
      <c r="D179" s="8" t="str">
        <f aca="false">INDEX(Material_Master!$D$2:$D$1000,MATCH(C179,Material_Master!$A$2:$A$1000,0))</f>
        <v>Alkali-resistant wall sealer/primer</v>
      </c>
      <c r="E179" s="6" t="s">
        <v>2997</v>
      </c>
      <c r="F179" s="6"/>
      <c r="G179" s="6"/>
      <c r="H179" s="9" t="n">
        <f aca="false">Coefficients!$D$136</f>
        <v>0.00285714285714286</v>
      </c>
      <c r="I179" s="6" t="s">
        <v>2998</v>
      </c>
      <c r="J179" s="6"/>
      <c r="K179" s="8" t="str">
        <f aca="false">INDEX(Material_Master!$F$2:$F$1000,MATCH(C179,Material_Master!$A$2:$A$1000,0))</f>
        <v>gal</v>
      </c>
      <c r="L179" s="10" t="n">
        <f aca="false">INDEX(Material_Master!$Q$2:$Q$1000,MATCH(C179,Material_Master!$A$2:$A$1000,0))</f>
        <v>0.05</v>
      </c>
    </row>
    <row r="180" customFormat="false" ht="15" hidden="false" customHeight="false" outlineLevel="0" collapsed="false">
      <c r="A180" s="6" t="s">
        <v>1102</v>
      </c>
      <c r="B180" s="8" t="str">
        <f aca="false">INDEX(Work_Items!$D$2:$D$300,MATCH(A180,Work_Items!$A$2:$A$300,0))</f>
        <v>Ceilings: putty + primer + emulsion</v>
      </c>
      <c r="C180" s="6" t="s">
        <v>1097</v>
      </c>
      <c r="D180" s="8" t="str">
        <f aca="false">INDEX(Material_Master!$D$2:$D$1000,MATCH(C180,Material_Master!$A$2:$A$1000,0))</f>
        <v>Ceiling emulsion (flat white)</v>
      </c>
      <c r="E180" s="6" t="s">
        <v>3043</v>
      </c>
      <c r="F180" s="6"/>
      <c r="G180" s="6"/>
      <c r="H180" s="9" t="n">
        <f aca="false">Coefficients!$D$137</f>
        <v>0.00571428571428571</v>
      </c>
      <c r="I180" s="6" t="s">
        <v>2998</v>
      </c>
      <c r="J180" s="6"/>
      <c r="K180" s="8" t="str">
        <f aca="false">INDEX(Material_Master!$F$2:$F$1000,MATCH(C180,Material_Master!$A$2:$A$1000,0))</f>
        <v>gal</v>
      </c>
      <c r="L180" s="10" t="n">
        <f aca="false">INDEX(Material_Master!$Q$2:$Q$1000,MATCH(C180,Material_Master!$A$2:$A$1000,0))</f>
        <v>0.05</v>
      </c>
    </row>
    <row r="181" customFormat="false" ht="15" hidden="false" customHeight="false" outlineLevel="0" collapsed="false">
      <c r="A181" s="6" t="s">
        <v>1110</v>
      </c>
      <c r="B181" s="8" t="str">
        <f aca="false">INDEX(Work_Items!$D$2:$D$300,MATCH(A181,Work_Items!$A$2:$A$300,0))</f>
        <v>Exterior: primer + weather coat 2 coats</v>
      </c>
      <c r="C181" s="6" t="s">
        <v>1079</v>
      </c>
      <c r="D181" s="8" t="str">
        <f aca="false">INDEX(Material_Master!$D$2:$D$1000,MATCH(C181,Material_Master!$A$2:$A$1000,0))</f>
        <v>Alkali-resistant wall sealer/primer</v>
      </c>
      <c r="E181" s="6" t="s">
        <v>2997</v>
      </c>
      <c r="F181" s="6"/>
      <c r="G181" s="6"/>
      <c r="H181" s="9" t="n">
        <f aca="false">Coefficients!$D$136</f>
        <v>0.00285714285714286</v>
      </c>
      <c r="I181" s="6" t="s">
        <v>2998</v>
      </c>
      <c r="J181" s="6" t="s">
        <v>3044</v>
      </c>
      <c r="K181" s="8" t="str">
        <f aca="false">INDEX(Material_Master!$F$2:$F$1000,MATCH(C181,Material_Master!$A$2:$A$1000,0))</f>
        <v>gal</v>
      </c>
      <c r="L181" s="10" t="n">
        <f aca="false">INDEX(Material_Master!$Q$2:$Q$1000,MATCH(C181,Material_Master!$A$2:$A$1000,0))</f>
        <v>0.05</v>
      </c>
    </row>
    <row r="182" customFormat="false" ht="15" hidden="false" customHeight="false" outlineLevel="0" collapsed="false">
      <c r="A182" s="6" t="s">
        <v>1110</v>
      </c>
      <c r="B182" s="8" t="str">
        <f aca="false">INDEX(Work_Items!$D$2:$D$300,MATCH(A182,Work_Items!$A$2:$A$300,0))</f>
        <v>Exterior: primer + weather coat 2 coats</v>
      </c>
      <c r="C182" s="6" t="s">
        <v>1104</v>
      </c>
      <c r="D182" s="8" t="str">
        <f aca="false">INDEX(Material_Master!$D$2:$D$1000,MATCH(C182,Material_Master!$A$2:$A$1000,0))</f>
        <v>Exterior weather-resistant emulsion</v>
      </c>
      <c r="E182" s="6" t="s">
        <v>3045</v>
      </c>
      <c r="F182" s="6"/>
      <c r="G182" s="6"/>
      <c r="H182" s="9" t="n">
        <f aca="false">Coefficients!$D$138</f>
        <v>0.00666666666666667</v>
      </c>
      <c r="I182" s="6" t="s">
        <v>2998</v>
      </c>
      <c r="J182" s="6"/>
      <c r="K182" s="8" t="str">
        <f aca="false">INDEX(Material_Master!$F$2:$F$1000,MATCH(C182,Material_Master!$A$2:$A$1000,0))</f>
        <v>gal</v>
      </c>
      <c r="L182" s="10" t="n">
        <f aca="false">INDEX(Material_Master!$Q$2:$Q$1000,MATCH(C182,Material_Master!$A$2:$A$1000,0))</f>
        <v>0.05</v>
      </c>
    </row>
    <row r="183" customFormat="false" ht="15" hidden="false" customHeight="false" outlineLevel="0" collapsed="false">
      <c r="A183" s="6" t="s">
        <v>1125</v>
      </c>
      <c r="B183" s="8" t="str">
        <f aca="false">INDEX(Work_Items!$D$2:$D$300,MATCH(A183,Work_Items!$A$2:$A$300,0))</f>
        <v>Enamel on MS works (grills, gate, railings)</v>
      </c>
      <c r="C183" s="6" t="s">
        <v>1126</v>
      </c>
      <c r="D183" s="8" t="str">
        <f aca="false">INDEX(Material_Master!$D$2:$D$1000,MATCH(C183,Material_Master!$A$2:$A$1000,0))</f>
        <v>Metal primer (red oxide / zinc chromate)</v>
      </c>
      <c r="E183" s="6" t="s">
        <v>3046</v>
      </c>
      <c r="F183" s="6"/>
      <c r="G183" s="6"/>
      <c r="H183" s="9" t="n">
        <f aca="false">Coefficients!$D$140</f>
        <v>0.0025</v>
      </c>
      <c r="I183" s="6" t="s">
        <v>2998</v>
      </c>
      <c r="J183" s="6"/>
      <c r="K183" s="8" t="str">
        <f aca="false">INDEX(Material_Master!$F$2:$F$1000,MATCH(C183,Material_Master!$A$2:$A$1000,0))</f>
        <v>gal</v>
      </c>
      <c r="L183" s="10" t="n">
        <f aca="false">INDEX(Material_Master!$Q$2:$Q$1000,MATCH(C183,Material_Master!$A$2:$A$1000,0))</f>
        <v>0.05</v>
      </c>
    </row>
    <row r="184" customFormat="false" ht="15" hidden="false" customHeight="false" outlineLevel="0" collapsed="false">
      <c r="A184" s="6" t="s">
        <v>1125</v>
      </c>
      <c r="B184" s="8" t="str">
        <f aca="false">INDEX(Work_Items!$D$2:$D$300,MATCH(A184,Work_Items!$A$2:$A$300,0))</f>
        <v>Enamel on MS works (grills, gate, railings)</v>
      </c>
      <c r="C184" s="6" t="s">
        <v>1119</v>
      </c>
      <c r="D184" s="8" t="str">
        <f aca="false">INDEX(Material_Master!$D$2:$D$1000,MATCH(C184,Material_Master!$A$2:$A$1000,0))</f>
        <v>Synthetic enamel (gloss)</v>
      </c>
      <c r="E184" s="6" t="s">
        <v>3047</v>
      </c>
      <c r="F184" s="6"/>
      <c r="G184" s="6"/>
      <c r="H184" s="9" t="n">
        <f aca="false">Coefficients!$D$139</f>
        <v>0.00571428571428571</v>
      </c>
      <c r="I184" s="6" t="s">
        <v>2998</v>
      </c>
      <c r="J184" s="6"/>
      <c r="K184" s="8" t="str">
        <f aca="false">INDEX(Material_Master!$F$2:$F$1000,MATCH(C184,Material_Master!$A$2:$A$1000,0))</f>
        <v>gal</v>
      </c>
      <c r="L184" s="10" t="n">
        <f aca="false">INDEX(Material_Master!$Q$2:$Q$1000,MATCH(C184,Material_Master!$A$2:$A$1000,0))</f>
        <v>0.05</v>
      </c>
    </row>
    <row r="185" customFormat="false" ht="15" hidden="false" customHeight="false" outlineLevel="0" collapsed="false">
      <c r="A185" s="6" t="s">
        <v>1125</v>
      </c>
      <c r="B185" s="8" t="str">
        <f aca="false">INDEX(Work_Items!$D$2:$D$300,MATCH(A185,Work_Items!$A$2:$A$300,0))</f>
        <v>Enamel on MS works (grills, gate, railings)</v>
      </c>
      <c r="C185" s="6" t="s">
        <v>1137</v>
      </c>
      <c r="D185" s="8" t="str">
        <f aca="false">INDEX(Material_Master!$D$2:$D$1000,MATCH(C185,Material_Master!$A$2:$A$1000,0))</f>
        <v>Thinner (NC/synthetic)</v>
      </c>
      <c r="E185" s="6" t="s">
        <v>3048</v>
      </c>
      <c r="F185" s="6"/>
      <c r="G185" s="6"/>
      <c r="H185" s="9" t="n">
        <f aca="false">Coefficients!$D$141</f>
        <v>0.005</v>
      </c>
      <c r="I185" s="6" t="s">
        <v>2922</v>
      </c>
      <c r="J185" s="6"/>
      <c r="K185" s="8" t="str">
        <f aca="false">INDEX(Material_Master!$F$2:$F$1000,MATCH(C185,Material_Master!$A$2:$A$1000,0))</f>
        <v>L</v>
      </c>
      <c r="L185" s="10" t="n">
        <f aca="false">INDEX(Material_Master!$Q$2:$Q$1000,MATCH(C185,Material_Master!$A$2:$A$1000,0))</f>
        <v>0.05</v>
      </c>
    </row>
    <row r="186" customFormat="false" ht="22.35" hidden="false" customHeight="false" outlineLevel="0" collapsed="false">
      <c r="A186" s="6" t="s">
        <v>1136</v>
      </c>
      <c r="B186" s="8" t="str">
        <f aca="false">INDEX(Work_Items!$D$2:$D$300,MATCH(A186,Work_Items!$A$2:$A$300,0))</f>
        <v>Wood polish/lacquer on doors &amp; frames</v>
      </c>
      <c r="C186" s="6" t="s">
        <v>1130</v>
      </c>
      <c r="D186" s="8" t="str">
        <f aca="false">INDEX(Material_Master!$D$2:$D$1000,MATCH(C186,Material_Master!$A$2:$A$1000,0))</f>
        <v>Wood finish: sanding sealer + NC/PU lacquer or polish</v>
      </c>
      <c r="E186" s="6" t="s">
        <v>3049</v>
      </c>
      <c r="F186" s="6"/>
      <c r="G186" s="6"/>
      <c r="H186" s="9" t="n">
        <f aca="false">Coefficients!$D$142</f>
        <v>0.03</v>
      </c>
      <c r="I186" s="6" t="s">
        <v>2922</v>
      </c>
      <c r="J186" s="6"/>
      <c r="K186" s="8" t="str">
        <f aca="false">INDEX(Material_Master!$F$2:$F$1000,MATCH(C186,Material_Master!$A$2:$A$1000,0))</f>
        <v>L</v>
      </c>
      <c r="L186" s="10" t="n">
        <f aca="false">INDEX(Material_Master!$Q$2:$Q$1000,MATCH(C186,Material_Master!$A$2:$A$1000,0))</f>
        <v>0.05</v>
      </c>
    </row>
    <row r="187" customFormat="false" ht="15" hidden="false" customHeight="false" outlineLevel="0" collapsed="false">
      <c r="A187" s="6" t="s">
        <v>1136</v>
      </c>
      <c r="B187" s="8" t="str">
        <f aca="false">INDEX(Work_Items!$D$2:$D$300,MATCH(A187,Work_Items!$A$2:$A$300,0))</f>
        <v>Wood polish/lacquer on doors &amp; frames</v>
      </c>
      <c r="C187" s="6" t="s">
        <v>1137</v>
      </c>
      <c r="D187" s="8" t="str">
        <f aca="false">INDEX(Material_Master!$D$2:$D$1000,MATCH(C187,Material_Master!$A$2:$A$1000,0))</f>
        <v>Thinner (NC/synthetic)</v>
      </c>
      <c r="E187" s="6" t="s">
        <v>3048</v>
      </c>
      <c r="F187" s="6"/>
      <c r="G187" s="6"/>
      <c r="H187" s="9" t="n">
        <f aca="false">Coefficients!$D$141</f>
        <v>0.005</v>
      </c>
      <c r="I187" s="6" t="s">
        <v>2922</v>
      </c>
      <c r="J187" s="6"/>
      <c r="K187" s="8" t="str">
        <f aca="false">INDEX(Material_Master!$F$2:$F$1000,MATCH(C187,Material_Master!$A$2:$A$1000,0))</f>
        <v>L</v>
      </c>
      <c r="L187" s="10" t="n">
        <f aca="false">INDEX(Material_Master!$Q$2:$Q$1000,MATCH(C187,Material_Master!$A$2:$A$1000,0))</f>
        <v>0.05</v>
      </c>
    </row>
    <row r="188" customFormat="false" ht="22.35" hidden="false" customHeight="false" outlineLevel="0" collapsed="false">
      <c r="A188" s="6" t="s">
        <v>2777</v>
      </c>
      <c r="B188" s="8" t="str">
        <f aca="false">INDEX(Work_Items!$D$2:$D$300,MATCH(A188,Work_Items!$A$2:$A$300,0))</f>
        <v>Light point (incl. switch, box, 3/29 wire, conduit)</v>
      </c>
      <c r="C188" s="6" t="s">
        <v>1840</v>
      </c>
      <c r="D188" s="8" t="str">
        <f aca="false">INDEX(Material_Master!$D$2:$D$1000,MATCH(C188,Material_Master!$A$2:$A$1000,0))</f>
        <v>PVC conduit 3/4in (20/25 mm) heavy gauge</v>
      </c>
      <c r="E188" s="6" t="s">
        <v>3050</v>
      </c>
      <c r="F188" s="6"/>
      <c r="G188" s="6"/>
      <c r="H188" s="9" t="n">
        <f aca="false">Coefficients!$D$154</f>
        <v>15</v>
      </c>
      <c r="I188" s="6" t="s">
        <v>3051</v>
      </c>
      <c r="J188" s="6"/>
      <c r="K188" s="8" t="str">
        <f aca="false">INDEX(Material_Master!$F$2:$F$1000,MATCH(C188,Material_Master!$A$2:$A$1000,0))</f>
        <v>rft</v>
      </c>
      <c r="L188" s="10" t="n">
        <f aca="false">INDEX(Material_Master!$Q$2:$Q$1000,MATCH(C188,Material_Master!$A$2:$A$1000,0))</f>
        <v>0.08</v>
      </c>
    </row>
    <row r="189" customFormat="false" ht="22.35" hidden="false" customHeight="false" outlineLevel="0" collapsed="false">
      <c r="A189" s="6" t="s">
        <v>2777</v>
      </c>
      <c r="B189" s="8" t="str">
        <f aca="false">INDEX(Work_Items!$D$2:$D$300,MATCH(A189,Work_Items!$A$2:$A$300,0))</f>
        <v>Light point (incl. switch, box, 3/29 wire, conduit)</v>
      </c>
      <c r="C189" s="6" t="s">
        <v>1881</v>
      </c>
      <c r="D189" s="8" t="str">
        <f aca="false">INDEX(Material_Master!$D$2:$D$1000,MATCH(C189,Material_Master!$A$2:$A$1000,0))</f>
        <v>PVC insulated copper wire 3/29 (~1.5 mm2)</v>
      </c>
      <c r="E189" s="6" t="s">
        <v>3052</v>
      </c>
      <c r="F189" s="6"/>
      <c r="G189" s="6"/>
      <c r="H189" s="9" t="n">
        <f aca="false">Coefficients!$D$155</f>
        <v>10</v>
      </c>
      <c r="I189" s="6" t="s">
        <v>3053</v>
      </c>
      <c r="J189" s="6"/>
      <c r="K189" s="8" t="str">
        <f aca="false">INDEX(Material_Master!$F$2:$F$1000,MATCH(C189,Material_Master!$A$2:$A$1000,0))</f>
        <v>m</v>
      </c>
      <c r="L189" s="10" t="n">
        <f aca="false">INDEX(Material_Master!$Q$2:$Q$1000,MATCH(C189,Material_Master!$A$2:$A$1000,0))</f>
        <v>0.1</v>
      </c>
    </row>
    <row r="190" customFormat="false" ht="22.35" hidden="false" customHeight="false" outlineLevel="0" collapsed="false">
      <c r="A190" s="6" t="s">
        <v>2777</v>
      </c>
      <c r="B190" s="8" t="str">
        <f aca="false">INDEX(Work_Items!$D$2:$D$300,MATCH(A190,Work_Items!$A$2:$A$300,0))</f>
        <v>Light point (incl. switch, box, 3/29 wire, conduit)</v>
      </c>
      <c r="C190" s="6" t="s">
        <v>1924</v>
      </c>
      <c r="D190" s="8" t="str">
        <f aca="false">INDEX(Material_Master!$D$2:$D$1000,MATCH(C190,Material_Master!$A$2:$A$1000,0))</f>
        <v>Earth continuity wire 3/29-7/29 (green/yellow)</v>
      </c>
      <c r="E190" s="6" t="s">
        <v>3054</v>
      </c>
      <c r="F190" s="6"/>
      <c r="G190" s="6"/>
      <c r="H190" s="9" t="n">
        <f aca="false">Coefficients!$D$156</f>
        <v>5</v>
      </c>
      <c r="I190" s="6" t="s">
        <v>3053</v>
      </c>
      <c r="J190" s="6"/>
      <c r="K190" s="8" t="str">
        <f aca="false">INDEX(Material_Master!$F$2:$F$1000,MATCH(C190,Material_Master!$A$2:$A$1000,0))</f>
        <v>m</v>
      </c>
      <c r="L190" s="10" t="n">
        <f aca="false">INDEX(Material_Master!$Q$2:$Q$1000,MATCH(C190,Material_Master!$A$2:$A$1000,0))</f>
        <v>0.1</v>
      </c>
    </row>
    <row r="191" customFormat="false" ht="22.35" hidden="false" customHeight="false" outlineLevel="0" collapsed="false">
      <c r="A191" s="6" t="s">
        <v>2777</v>
      </c>
      <c r="B191" s="8" t="str">
        <f aca="false">INDEX(Work_Items!$D$2:$D$300,MATCH(A191,Work_Items!$A$2:$A$300,0))</f>
        <v>Light point (incl. switch, box, 3/29 wire, conduit)</v>
      </c>
      <c r="C191" s="6" t="s">
        <v>1875</v>
      </c>
      <c r="D191" s="8" t="str">
        <f aca="false">INDEX(Material_Master!$D$2:$D$1000,MATCH(C191,Material_Master!$A$2:$A$1000,0))</f>
        <v>Switch/socket back boxes (GI/PVC) 3x3, 3x6, 4x4</v>
      </c>
      <c r="E191" s="6" t="s">
        <v>2914</v>
      </c>
      <c r="F191" s="6"/>
      <c r="G191" s="6"/>
      <c r="H191" s="9" t="n">
        <f aca="false">Coefficients!$D$2</f>
        <v>1</v>
      </c>
      <c r="I191" s="6" t="s">
        <v>3055</v>
      </c>
      <c r="J191" s="6"/>
      <c r="K191" s="8" t="str">
        <f aca="false">INDEX(Material_Master!$F$2:$F$1000,MATCH(C191,Material_Master!$A$2:$A$1000,0))</f>
        <v>Nos</v>
      </c>
      <c r="L191" s="10" t="n">
        <f aca="false">INDEX(Material_Master!$Q$2:$Q$1000,MATCH(C191,Material_Master!$A$2:$A$1000,0))</f>
        <v>0</v>
      </c>
    </row>
    <row r="192" customFormat="false" ht="22.35" hidden="false" customHeight="false" outlineLevel="0" collapsed="false">
      <c r="A192" s="6" t="s">
        <v>2777</v>
      </c>
      <c r="B192" s="8" t="str">
        <f aca="false">INDEX(Work_Items!$D$2:$D$300,MATCH(A192,Work_Items!$A$2:$A$300,0))</f>
        <v>Light point (incl. switch, box, 3/29 wire, conduit)</v>
      </c>
      <c r="C192" s="6" t="s">
        <v>1868</v>
      </c>
      <c r="D192" s="8" t="str">
        <f aca="false">INDEX(Material_Master!$D$2:$D$1000,MATCH(C192,Material_Master!$A$2:$A$1000,0))</f>
        <v>Conduit fittings (bends, couplers, circular/junction boxes, saddles)</v>
      </c>
      <c r="E192" s="6" t="s">
        <v>3056</v>
      </c>
      <c r="F192" s="6"/>
      <c r="G192" s="6"/>
      <c r="H192" s="9" t="n">
        <f aca="false">Coefficients!$D$166</f>
        <v>3</v>
      </c>
      <c r="I192" s="6" t="s">
        <v>3055</v>
      </c>
      <c r="J192" s="6"/>
      <c r="K192" s="8" t="str">
        <f aca="false">INDEX(Material_Master!$F$2:$F$1000,MATCH(C192,Material_Master!$A$2:$A$1000,0))</f>
        <v>Nos</v>
      </c>
      <c r="L192" s="10" t="n">
        <f aca="false">INDEX(Material_Master!$Q$2:$Q$1000,MATCH(C192,Material_Master!$A$2:$A$1000,0))</f>
        <v>0.05</v>
      </c>
    </row>
    <row r="193" customFormat="false" ht="22.35" hidden="false" customHeight="false" outlineLevel="0" collapsed="false">
      <c r="A193" s="6" t="s">
        <v>2777</v>
      </c>
      <c r="B193" s="8" t="str">
        <f aca="false">INDEX(Work_Items!$D$2:$D$300,MATCH(A193,Work_Items!$A$2:$A$300,0))</f>
        <v>Light point (incl. switch, box, 3/29 wire, conduit)</v>
      </c>
      <c r="C193" s="6" t="s">
        <v>1995</v>
      </c>
      <c r="D193" s="8" t="str">
        <f aca="false">INDEX(Material_Master!$D$2:$D$1000,MATCH(C193,Material_Master!$A$2:$A$1000,0))</f>
        <v>Switches 1-way/2-way 10A (incl. plates)</v>
      </c>
      <c r="E193" s="6" t="s">
        <v>2914</v>
      </c>
      <c r="F193" s="6"/>
      <c r="G193" s="6"/>
      <c r="H193" s="9" t="n">
        <f aca="false">Coefficients!$D$2</f>
        <v>1</v>
      </c>
      <c r="I193" s="6" t="s">
        <v>3055</v>
      </c>
      <c r="J193" s="6"/>
      <c r="K193" s="8" t="str">
        <f aca="false">INDEX(Material_Master!$F$2:$F$1000,MATCH(C193,Material_Master!$A$2:$A$1000,0))</f>
        <v>Nos</v>
      </c>
      <c r="L193" s="10" t="n">
        <f aca="false">INDEX(Material_Master!$Q$2:$Q$1000,MATCH(C193,Material_Master!$A$2:$A$1000,0))</f>
        <v>0</v>
      </c>
    </row>
    <row r="194" customFormat="false" ht="15" hidden="false" customHeight="false" outlineLevel="0" collapsed="false">
      <c r="A194" s="6" t="s">
        <v>2039</v>
      </c>
      <c r="B194" s="8" t="str">
        <f aca="false">INDEX(Work_Items!$D$2:$D$300,MATCH(A194,Work_Items!$A$2:$A$300,0))</f>
        <v>Fan point (incl. regulator)</v>
      </c>
      <c r="C194" s="6" t="s">
        <v>1840</v>
      </c>
      <c r="D194" s="8" t="str">
        <f aca="false">INDEX(Material_Master!$D$2:$D$1000,MATCH(C194,Material_Master!$A$2:$A$1000,0))</f>
        <v>PVC conduit 3/4in (20/25 mm) heavy gauge</v>
      </c>
      <c r="E194" s="6" t="s">
        <v>3050</v>
      </c>
      <c r="F194" s="6"/>
      <c r="G194" s="6"/>
      <c r="H194" s="9" t="n">
        <f aca="false">Coefficients!$D$154</f>
        <v>15</v>
      </c>
      <c r="I194" s="6" t="s">
        <v>3051</v>
      </c>
      <c r="J194" s="6"/>
      <c r="K194" s="8" t="str">
        <f aca="false">INDEX(Material_Master!$F$2:$F$1000,MATCH(C194,Material_Master!$A$2:$A$1000,0))</f>
        <v>rft</v>
      </c>
      <c r="L194" s="10" t="n">
        <f aca="false">INDEX(Material_Master!$Q$2:$Q$1000,MATCH(C194,Material_Master!$A$2:$A$1000,0))</f>
        <v>0.08</v>
      </c>
    </row>
    <row r="195" customFormat="false" ht="15" hidden="false" customHeight="false" outlineLevel="0" collapsed="false">
      <c r="A195" s="6" t="s">
        <v>2039</v>
      </c>
      <c r="B195" s="8" t="str">
        <f aca="false">INDEX(Work_Items!$D$2:$D$300,MATCH(A195,Work_Items!$A$2:$A$300,0))</f>
        <v>Fan point (incl. regulator)</v>
      </c>
      <c r="C195" s="6" t="s">
        <v>1881</v>
      </c>
      <c r="D195" s="8" t="str">
        <f aca="false">INDEX(Material_Master!$D$2:$D$1000,MATCH(C195,Material_Master!$A$2:$A$1000,0))</f>
        <v>PVC insulated copper wire 3/29 (~1.5 mm2)</v>
      </c>
      <c r="E195" s="6" t="s">
        <v>3052</v>
      </c>
      <c r="F195" s="6"/>
      <c r="G195" s="6"/>
      <c r="H195" s="9" t="n">
        <f aca="false">Coefficients!$D$155</f>
        <v>10</v>
      </c>
      <c r="I195" s="6" t="s">
        <v>3053</v>
      </c>
      <c r="J195" s="6"/>
      <c r="K195" s="8" t="str">
        <f aca="false">INDEX(Material_Master!$F$2:$F$1000,MATCH(C195,Material_Master!$A$2:$A$1000,0))</f>
        <v>m</v>
      </c>
      <c r="L195" s="10" t="n">
        <f aca="false">INDEX(Material_Master!$Q$2:$Q$1000,MATCH(C195,Material_Master!$A$2:$A$1000,0))</f>
        <v>0.1</v>
      </c>
    </row>
    <row r="196" customFormat="false" ht="22.35" hidden="false" customHeight="false" outlineLevel="0" collapsed="false">
      <c r="A196" s="6" t="s">
        <v>2039</v>
      </c>
      <c r="B196" s="8" t="str">
        <f aca="false">INDEX(Work_Items!$D$2:$D$300,MATCH(A196,Work_Items!$A$2:$A$300,0))</f>
        <v>Fan point (incl. regulator)</v>
      </c>
      <c r="C196" s="6" t="s">
        <v>1875</v>
      </c>
      <c r="D196" s="8" t="str">
        <f aca="false">INDEX(Material_Master!$D$2:$D$1000,MATCH(C196,Material_Master!$A$2:$A$1000,0))</f>
        <v>Switch/socket back boxes (GI/PVC) 3x3, 3x6, 4x4</v>
      </c>
      <c r="E196" s="6" t="s">
        <v>2914</v>
      </c>
      <c r="F196" s="6"/>
      <c r="G196" s="6"/>
      <c r="H196" s="9" t="n">
        <f aca="false">Coefficients!$D$2</f>
        <v>1</v>
      </c>
      <c r="I196" s="6" t="s">
        <v>3055</v>
      </c>
      <c r="J196" s="6"/>
      <c r="K196" s="8" t="str">
        <f aca="false">INDEX(Material_Master!$F$2:$F$1000,MATCH(C196,Material_Master!$A$2:$A$1000,0))</f>
        <v>Nos</v>
      </c>
      <c r="L196" s="10" t="n">
        <f aca="false">INDEX(Material_Master!$Q$2:$Q$1000,MATCH(C196,Material_Master!$A$2:$A$1000,0))</f>
        <v>0</v>
      </c>
    </row>
    <row r="197" customFormat="false" ht="22.35" hidden="false" customHeight="false" outlineLevel="0" collapsed="false">
      <c r="A197" s="6" t="s">
        <v>2039</v>
      </c>
      <c r="B197" s="8" t="str">
        <f aca="false">INDEX(Work_Items!$D$2:$D$300,MATCH(A197,Work_Items!$A$2:$A$300,0))</f>
        <v>Fan point (incl. regulator)</v>
      </c>
      <c r="C197" s="6" t="s">
        <v>1868</v>
      </c>
      <c r="D197" s="8" t="str">
        <f aca="false">INDEX(Material_Master!$D$2:$D$1000,MATCH(C197,Material_Master!$A$2:$A$1000,0))</f>
        <v>Conduit fittings (bends, couplers, circular/junction boxes, saddles)</v>
      </c>
      <c r="E197" s="6" t="s">
        <v>3056</v>
      </c>
      <c r="F197" s="6"/>
      <c r="G197" s="6"/>
      <c r="H197" s="9" t="n">
        <f aca="false">Coefficients!$D$166</f>
        <v>3</v>
      </c>
      <c r="I197" s="6" t="s">
        <v>3055</v>
      </c>
      <c r="J197" s="6"/>
      <c r="K197" s="8" t="str">
        <f aca="false">INDEX(Material_Master!$F$2:$F$1000,MATCH(C197,Material_Master!$A$2:$A$1000,0))</f>
        <v>Nos</v>
      </c>
      <c r="L197" s="10" t="n">
        <f aca="false">INDEX(Material_Master!$Q$2:$Q$1000,MATCH(C197,Material_Master!$A$2:$A$1000,0))</f>
        <v>0.05</v>
      </c>
    </row>
    <row r="198" customFormat="false" ht="15" hidden="false" customHeight="false" outlineLevel="0" collapsed="false">
      <c r="A198" s="6" t="s">
        <v>2039</v>
      </c>
      <c r="B198" s="8" t="str">
        <f aca="false">INDEX(Work_Items!$D$2:$D$300,MATCH(A198,Work_Items!$A$2:$A$300,0))</f>
        <v>Fan point (incl. regulator)</v>
      </c>
      <c r="C198" s="6" t="s">
        <v>2034</v>
      </c>
      <c r="D198" s="8" t="str">
        <f aca="false">INDEX(Material_Master!$D$2:$D$1000,MATCH(C198,Material_Master!$A$2:$A$1000,0))</f>
        <v>Fan regulator (electronic/step)</v>
      </c>
      <c r="E198" s="6" t="s">
        <v>2914</v>
      </c>
      <c r="F198" s="6"/>
      <c r="G198" s="6"/>
      <c r="H198" s="9" t="n">
        <f aca="false">Coefficients!$D$2</f>
        <v>1</v>
      </c>
      <c r="I198" s="6" t="s">
        <v>3055</v>
      </c>
      <c r="J198" s="6"/>
      <c r="K198" s="8" t="str">
        <f aca="false">INDEX(Material_Master!$F$2:$F$1000,MATCH(C198,Material_Master!$A$2:$A$1000,0))</f>
        <v>Nos</v>
      </c>
      <c r="L198" s="10" t="n">
        <f aca="false">INDEX(Material_Master!$Q$2:$Q$1000,MATCH(C198,Material_Master!$A$2:$A$1000,0))</f>
        <v>0</v>
      </c>
    </row>
    <row r="199" customFormat="false" ht="15" hidden="false" customHeight="false" outlineLevel="0" collapsed="false">
      <c r="A199" s="6" t="s">
        <v>2039</v>
      </c>
      <c r="B199" s="8" t="str">
        <f aca="false">INDEX(Work_Items!$D$2:$D$300,MATCH(A199,Work_Items!$A$2:$A$300,0))</f>
        <v>Fan point (incl. regulator)</v>
      </c>
      <c r="C199" s="6" t="s">
        <v>1995</v>
      </c>
      <c r="D199" s="8" t="str">
        <f aca="false">INDEX(Material_Master!$D$2:$D$1000,MATCH(C199,Material_Master!$A$2:$A$1000,0))</f>
        <v>Switches 1-way/2-way 10A (incl. plates)</v>
      </c>
      <c r="E199" s="6" t="s">
        <v>2914</v>
      </c>
      <c r="F199" s="6"/>
      <c r="G199" s="6"/>
      <c r="H199" s="9" t="n">
        <f aca="false">Coefficients!$D$2</f>
        <v>1</v>
      </c>
      <c r="I199" s="6" t="s">
        <v>3055</v>
      </c>
      <c r="J199" s="6"/>
      <c r="K199" s="8" t="str">
        <f aca="false">INDEX(Material_Master!$F$2:$F$1000,MATCH(C199,Material_Master!$A$2:$A$1000,0))</f>
        <v>Nos</v>
      </c>
      <c r="L199" s="10" t="n">
        <f aca="false">INDEX(Material_Master!$Q$2:$Q$1000,MATCH(C199,Material_Master!$A$2:$A$1000,0))</f>
        <v>0</v>
      </c>
    </row>
    <row r="200" customFormat="false" ht="15" hidden="false" customHeight="false" outlineLevel="0" collapsed="false">
      <c r="A200" s="6" t="s">
        <v>2008</v>
      </c>
      <c r="B200" s="8" t="str">
        <f aca="false">INDEX(Work_Items!$D$2:$D$300,MATCH(A200,Work_Items!$A$2:$A$300,0))</f>
        <v>13A socket point (7/29)</v>
      </c>
      <c r="C200" s="6" t="s">
        <v>1840</v>
      </c>
      <c r="D200" s="8" t="str">
        <f aca="false">INDEX(Material_Master!$D$2:$D$1000,MATCH(C200,Material_Master!$A$2:$A$1000,0))</f>
        <v>PVC conduit 3/4in (20/25 mm) heavy gauge</v>
      </c>
      <c r="E200" s="6" t="s">
        <v>3057</v>
      </c>
      <c r="F200" s="6"/>
      <c r="G200" s="6"/>
      <c r="H200" s="9" t="n">
        <f aca="false">Coefficients!$D$157</f>
        <v>20</v>
      </c>
      <c r="I200" s="6" t="s">
        <v>3051</v>
      </c>
      <c r="J200" s="6"/>
      <c r="K200" s="8" t="str">
        <f aca="false">INDEX(Material_Master!$F$2:$F$1000,MATCH(C200,Material_Master!$A$2:$A$1000,0))</f>
        <v>rft</v>
      </c>
      <c r="L200" s="10" t="n">
        <f aca="false">INDEX(Material_Master!$Q$2:$Q$1000,MATCH(C200,Material_Master!$A$2:$A$1000,0))</f>
        <v>0.08</v>
      </c>
    </row>
    <row r="201" customFormat="false" ht="15" hidden="false" customHeight="false" outlineLevel="0" collapsed="false">
      <c r="A201" s="6" t="s">
        <v>2008</v>
      </c>
      <c r="B201" s="8" t="str">
        <f aca="false">INDEX(Work_Items!$D$2:$D$300,MATCH(A201,Work_Items!$A$2:$A$300,0))</f>
        <v>13A socket point (7/29)</v>
      </c>
      <c r="C201" s="6" t="s">
        <v>1893</v>
      </c>
      <c r="D201" s="8" t="str">
        <f aca="false">INDEX(Material_Master!$D$2:$D$1000,MATCH(C201,Material_Master!$A$2:$A$1000,0))</f>
        <v>PVC insulated copper wire 7/29 (~2.5 mm2)</v>
      </c>
      <c r="E201" s="6" t="s">
        <v>3058</v>
      </c>
      <c r="F201" s="6"/>
      <c r="G201" s="6"/>
      <c r="H201" s="9" t="n">
        <f aca="false">Coefficients!$D$158</f>
        <v>14</v>
      </c>
      <c r="I201" s="6" t="s">
        <v>3053</v>
      </c>
      <c r="J201" s="6"/>
      <c r="K201" s="8" t="str">
        <f aca="false">INDEX(Material_Master!$F$2:$F$1000,MATCH(C201,Material_Master!$A$2:$A$1000,0))</f>
        <v>m</v>
      </c>
      <c r="L201" s="10" t="n">
        <f aca="false">INDEX(Material_Master!$Q$2:$Q$1000,MATCH(C201,Material_Master!$A$2:$A$1000,0))</f>
        <v>0.1</v>
      </c>
    </row>
    <row r="202" customFormat="false" ht="15" hidden="false" customHeight="false" outlineLevel="0" collapsed="false">
      <c r="A202" s="6" t="s">
        <v>2008</v>
      </c>
      <c r="B202" s="8" t="str">
        <f aca="false">INDEX(Work_Items!$D$2:$D$300,MATCH(A202,Work_Items!$A$2:$A$300,0))</f>
        <v>13A socket point (7/29)</v>
      </c>
      <c r="C202" s="6" t="s">
        <v>1924</v>
      </c>
      <c r="D202" s="8" t="str">
        <f aca="false">INDEX(Material_Master!$D$2:$D$1000,MATCH(C202,Material_Master!$A$2:$A$1000,0))</f>
        <v>Earth continuity wire 3/29-7/29 (green/yellow)</v>
      </c>
      <c r="E202" s="6" t="s">
        <v>3059</v>
      </c>
      <c r="F202" s="6"/>
      <c r="G202" s="6"/>
      <c r="H202" s="9" t="n">
        <f aca="false">Coefficients!$D$159</f>
        <v>7</v>
      </c>
      <c r="I202" s="6" t="s">
        <v>3053</v>
      </c>
      <c r="J202" s="6"/>
      <c r="K202" s="8" t="str">
        <f aca="false">INDEX(Material_Master!$F$2:$F$1000,MATCH(C202,Material_Master!$A$2:$A$1000,0))</f>
        <v>m</v>
      </c>
      <c r="L202" s="10" t="n">
        <f aca="false">INDEX(Material_Master!$Q$2:$Q$1000,MATCH(C202,Material_Master!$A$2:$A$1000,0))</f>
        <v>0.1</v>
      </c>
    </row>
    <row r="203" customFormat="false" ht="22.35" hidden="false" customHeight="false" outlineLevel="0" collapsed="false">
      <c r="A203" s="6" t="s">
        <v>2008</v>
      </c>
      <c r="B203" s="8" t="str">
        <f aca="false">INDEX(Work_Items!$D$2:$D$300,MATCH(A203,Work_Items!$A$2:$A$300,0))</f>
        <v>13A socket point (7/29)</v>
      </c>
      <c r="C203" s="6" t="s">
        <v>1875</v>
      </c>
      <c r="D203" s="8" t="str">
        <f aca="false">INDEX(Material_Master!$D$2:$D$1000,MATCH(C203,Material_Master!$A$2:$A$1000,0))</f>
        <v>Switch/socket back boxes (GI/PVC) 3x3, 3x6, 4x4</v>
      </c>
      <c r="E203" s="6" t="s">
        <v>2914</v>
      </c>
      <c r="F203" s="6"/>
      <c r="G203" s="6"/>
      <c r="H203" s="9" t="n">
        <f aca="false">Coefficients!$D$2</f>
        <v>1</v>
      </c>
      <c r="I203" s="6" t="s">
        <v>3055</v>
      </c>
      <c r="J203" s="6"/>
      <c r="K203" s="8" t="str">
        <f aca="false">INDEX(Material_Master!$F$2:$F$1000,MATCH(C203,Material_Master!$A$2:$A$1000,0))</f>
        <v>Nos</v>
      </c>
      <c r="L203" s="10" t="n">
        <f aca="false">INDEX(Material_Master!$Q$2:$Q$1000,MATCH(C203,Material_Master!$A$2:$A$1000,0))</f>
        <v>0</v>
      </c>
    </row>
    <row r="204" customFormat="false" ht="22.35" hidden="false" customHeight="false" outlineLevel="0" collapsed="false">
      <c r="A204" s="6" t="s">
        <v>2008</v>
      </c>
      <c r="B204" s="8" t="str">
        <f aca="false">INDEX(Work_Items!$D$2:$D$300,MATCH(A204,Work_Items!$A$2:$A$300,0))</f>
        <v>13A socket point (7/29)</v>
      </c>
      <c r="C204" s="6" t="s">
        <v>1868</v>
      </c>
      <c r="D204" s="8" t="str">
        <f aca="false">INDEX(Material_Master!$D$2:$D$1000,MATCH(C204,Material_Master!$A$2:$A$1000,0))</f>
        <v>Conduit fittings (bends, couplers, circular/junction boxes, saddles)</v>
      </c>
      <c r="E204" s="6" t="s">
        <v>3056</v>
      </c>
      <c r="F204" s="6"/>
      <c r="G204" s="6"/>
      <c r="H204" s="9" t="n">
        <f aca="false">Coefficients!$D$166</f>
        <v>3</v>
      </c>
      <c r="I204" s="6" t="s">
        <v>3055</v>
      </c>
      <c r="J204" s="6"/>
      <c r="K204" s="8" t="str">
        <f aca="false">INDEX(Material_Master!$F$2:$F$1000,MATCH(C204,Material_Master!$A$2:$A$1000,0))</f>
        <v>Nos</v>
      </c>
      <c r="L204" s="10" t="n">
        <f aca="false">INDEX(Material_Master!$Q$2:$Q$1000,MATCH(C204,Material_Master!$A$2:$A$1000,0))</f>
        <v>0.05</v>
      </c>
    </row>
    <row r="205" customFormat="false" ht="22.35" hidden="false" customHeight="false" outlineLevel="0" collapsed="false">
      <c r="A205" s="6" t="s">
        <v>2008</v>
      </c>
      <c r="B205" s="8" t="str">
        <f aca="false">INDEX(Work_Items!$D$2:$D$300,MATCH(A205,Work_Items!$A$2:$A$300,0))</f>
        <v>13A socket point (7/29)</v>
      </c>
      <c r="C205" s="6" t="s">
        <v>2002</v>
      </c>
      <c r="D205" s="8" t="str">
        <f aca="false">INDEX(Material_Master!$D$2:$D$1000,MATCH(C205,Material_Master!$A$2:$A$1000,0))</f>
        <v>13A switched socket outlet (2x13A where shown)</v>
      </c>
      <c r="E205" s="6" t="s">
        <v>2914</v>
      </c>
      <c r="F205" s="6"/>
      <c r="G205" s="6"/>
      <c r="H205" s="9" t="n">
        <f aca="false">Coefficients!$D$2</f>
        <v>1</v>
      </c>
      <c r="I205" s="6" t="s">
        <v>3055</v>
      </c>
      <c r="J205" s="6"/>
      <c r="K205" s="8" t="str">
        <f aca="false">INDEX(Material_Master!$F$2:$F$1000,MATCH(C205,Material_Master!$A$2:$A$1000,0))</f>
        <v>Nos</v>
      </c>
      <c r="L205" s="10" t="n">
        <f aca="false">INDEX(Material_Master!$Q$2:$Q$1000,MATCH(C205,Material_Master!$A$2:$A$1000,0))</f>
        <v>0</v>
      </c>
    </row>
    <row r="206" customFormat="false" ht="15" hidden="false" customHeight="false" outlineLevel="0" collapsed="false">
      <c r="A206" s="6" t="s">
        <v>2016</v>
      </c>
      <c r="B206" s="8" t="str">
        <f aca="false">INDEX(Work_Items!$D$2:$D$300,MATCH(A206,Work_Items!$A$2:$A$300,0))</f>
        <v>15A power / geyser / cooker point</v>
      </c>
      <c r="C206" s="6" t="s">
        <v>1840</v>
      </c>
      <c r="D206" s="8" t="str">
        <f aca="false">INDEX(Material_Master!$D$2:$D$1000,MATCH(C206,Material_Master!$A$2:$A$1000,0))</f>
        <v>PVC conduit 3/4in (20/25 mm) heavy gauge</v>
      </c>
      <c r="E206" s="6" t="s">
        <v>3057</v>
      </c>
      <c r="F206" s="6"/>
      <c r="G206" s="6"/>
      <c r="H206" s="9" t="n">
        <f aca="false">Coefficients!$D$157</f>
        <v>20</v>
      </c>
      <c r="I206" s="6" t="s">
        <v>3051</v>
      </c>
      <c r="J206" s="6"/>
      <c r="K206" s="8" t="str">
        <f aca="false">INDEX(Material_Master!$F$2:$F$1000,MATCH(C206,Material_Master!$A$2:$A$1000,0))</f>
        <v>rft</v>
      </c>
      <c r="L206" s="10" t="n">
        <f aca="false">INDEX(Material_Master!$Q$2:$Q$1000,MATCH(C206,Material_Master!$A$2:$A$1000,0))</f>
        <v>0.08</v>
      </c>
    </row>
    <row r="207" customFormat="false" ht="15" hidden="false" customHeight="false" outlineLevel="0" collapsed="false">
      <c r="A207" s="6" t="s">
        <v>2016</v>
      </c>
      <c r="B207" s="8" t="str">
        <f aca="false">INDEX(Work_Items!$D$2:$D$300,MATCH(A207,Work_Items!$A$2:$A$300,0))</f>
        <v>15A power / geyser / cooker point</v>
      </c>
      <c r="C207" s="6" t="s">
        <v>1893</v>
      </c>
      <c r="D207" s="8" t="str">
        <f aca="false">INDEX(Material_Master!$D$2:$D$1000,MATCH(C207,Material_Master!$A$2:$A$1000,0))</f>
        <v>PVC insulated copper wire 7/29 (~2.5 mm2)</v>
      </c>
      <c r="E207" s="6" t="s">
        <v>3060</v>
      </c>
      <c r="F207" s="6"/>
      <c r="G207" s="6"/>
      <c r="H207" s="9" t="n">
        <f aca="false">Coefficients!$D$160</f>
        <v>18</v>
      </c>
      <c r="I207" s="6" t="s">
        <v>3053</v>
      </c>
      <c r="J207" s="6"/>
      <c r="K207" s="8" t="str">
        <f aca="false">INDEX(Material_Master!$F$2:$F$1000,MATCH(C207,Material_Master!$A$2:$A$1000,0))</f>
        <v>m</v>
      </c>
      <c r="L207" s="10" t="n">
        <f aca="false">INDEX(Material_Master!$Q$2:$Q$1000,MATCH(C207,Material_Master!$A$2:$A$1000,0))</f>
        <v>0.1</v>
      </c>
    </row>
    <row r="208" customFormat="false" ht="15" hidden="false" customHeight="false" outlineLevel="0" collapsed="false">
      <c r="A208" s="6" t="s">
        <v>2016</v>
      </c>
      <c r="B208" s="8" t="str">
        <f aca="false">INDEX(Work_Items!$D$2:$D$300,MATCH(A208,Work_Items!$A$2:$A$300,0))</f>
        <v>15A power / geyser / cooker point</v>
      </c>
      <c r="C208" s="6" t="s">
        <v>1924</v>
      </c>
      <c r="D208" s="8" t="str">
        <f aca="false">INDEX(Material_Master!$D$2:$D$1000,MATCH(C208,Material_Master!$A$2:$A$1000,0))</f>
        <v>Earth continuity wire 3/29-7/29 (green/yellow)</v>
      </c>
      <c r="E208" s="6" t="s">
        <v>3059</v>
      </c>
      <c r="F208" s="6"/>
      <c r="G208" s="6"/>
      <c r="H208" s="9" t="n">
        <f aca="false">Coefficients!$D$159</f>
        <v>7</v>
      </c>
      <c r="I208" s="6" t="s">
        <v>3053</v>
      </c>
      <c r="J208" s="6"/>
      <c r="K208" s="8" t="str">
        <f aca="false">INDEX(Material_Master!$F$2:$F$1000,MATCH(C208,Material_Master!$A$2:$A$1000,0))</f>
        <v>m</v>
      </c>
      <c r="L208" s="10" t="n">
        <f aca="false">INDEX(Material_Master!$Q$2:$Q$1000,MATCH(C208,Material_Master!$A$2:$A$1000,0))</f>
        <v>0.1</v>
      </c>
    </row>
    <row r="209" customFormat="false" ht="22.35" hidden="false" customHeight="false" outlineLevel="0" collapsed="false">
      <c r="A209" s="6" t="s">
        <v>2016</v>
      </c>
      <c r="B209" s="8" t="str">
        <f aca="false">INDEX(Work_Items!$D$2:$D$300,MATCH(A209,Work_Items!$A$2:$A$300,0))</f>
        <v>15A power / geyser / cooker point</v>
      </c>
      <c r="C209" s="6" t="s">
        <v>1875</v>
      </c>
      <c r="D209" s="8" t="str">
        <f aca="false">INDEX(Material_Master!$D$2:$D$1000,MATCH(C209,Material_Master!$A$2:$A$1000,0))</f>
        <v>Switch/socket back boxes (GI/PVC) 3x3, 3x6, 4x4</v>
      </c>
      <c r="E209" s="6" t="s">
        <v>2914</v>
      </c>
      <c r="F209" s="6"/>
      <c r="G209" s="6"/>
      <c r="H209" s="9" t="n">
        <f aca="false">Coefficients!$D$2</f>
        <v>1</v>
      </c>
      <c r="I209" s="6" t="s">
        <v>3055</v>
      </c>
      <c r="J209" s="6"/>
      <c r="K209" s="8" t="str">
        <f aca="false">INDEX(Material_Master!$F$2:$F$1000,MATCH(C209,Material_Master!$A$2:$A$1000,0))</f>
        <v>Nos</v>
      </c>
      <c r="L209" s="10" t="n">
        <f aca="false">INDEX(Material_Master!$Q$2:$Q$1000,MATCH(C209,Material_Master!$A$2:$A$1000,0))</f>
        <v>0</v>
      </c>
    </row>
    <row r="210" customFormat="false" ht="15" hidden="false" customHeight="false" outlineLevel="0" collapsed="false">
      <c r="A210" s="6" t="s">
        <v>2016</v>
      </c>
      <c r="B210" s="8" t="str">
        <f aca="false">INDEX(Work_Items!$D$2:$D$300,MATCH(A210,Work_Items!$A$2:$A$300,0))</f>
        <v>15A power / geyser / cooker point</v>
      </c>
      <c r="C210" s="6" t="s">
        <v>2010</v>
      </c>
      <c r="D210" s="8" t="str">
        <f aca="false">INDEX(Material_Master!$D$2:$D$1000,MATCH(C210,Material_Master!$A$2:$A$1000,0))</f>
        <v>15A switched socket</v>
      </c>
      <c r="E210" s="6" t="s">
        <v>2914</v>
      </c>
      <c r="F210" s="6"/>
      <c r="G210" s="6"/>
      <c r="H210" s="9" t="n">
        <f aca="false">Coefficients!$D$2</f>
        <v>1</v>
      </c>
      <c r="I210" s="6" t="s">
        <v>3055</v>
      </c>
      <c r="J210" s="6" t="s">
        <v>3061</v>
      </c>
      <c r="K210" s="8" t="str">
        <f aca="false">INDEX(Material_Master!$F$2:$F$1000,MATCH(C210,Material_Master!$A$2:$A$1000,0))</f>
        <v>Nos</v>
      </c>
      <c r="L210" s="10" t="n">
        <f aca="false">INDEX(Material_Master!$Q$2:$Q$1000,MATCH(C210,Material_Master!$A$2:$A$1000,0))</f>
        <v>0</v>
      </c>
    </row>
    <row r="211" customFormat="false" ht="15" hidden="false" customHeight="false" outlineLevel="0" collapsed="false">
      <c r="A211" s="6" t="s">
        <v>1905</v>
      </c>
      <c r="B211" s="8" t="str">
        <f aca="false">INDEX(Work_Items!$D$2:$D$300,MATCH(A211,Work_Items!$A$2:$A$300,0))</f>
        <v>AC point (7/36, 1in conduit, isolator)</v>
      </c>
      <c r="C211" s="6" t="s">
        <v>1855</v>
      </c>
      <c r="D211" s="8" t="str">
        <f aca="false">INDEX(Material_Master!$D$2:$D$1000,MATCH(C211,Material_Master!$A$2:$A$1000,0))</f>
        <v>PVC conduit 1in (32 mm)</v>
      </c>
      <c r="E211" s="6" t="s">
        <v>3062</v>
      </c>
      <c r="F211" s="6"/>
      <c r="G211" s="6"/>
      <c r="H211" s="9" t="n">
        <f aca="false">Coefficients!$D$161</f>
        <v>40</v>
      </c>
      <c r="I211" s="6" t="s">
        <v>3051</v>
      </c>
      <c r="J211" s="6"/>
      <c r="K211" s="8" t="str">
        <f aca="false">INDEX(Material_Master!$F$2:$F$1000,MATCH(C211,Material_Master!$A$2:$A$1000,0))</f>
        <v>rft</v>
      </c>
      <c r="L211" s="10" t="n">
        <f aca="false">INDEX(Material_Master!$Q$2:$Q$1000,MATCH(C211,Material_Master!$A$2:$A$1000,0))</f>
        <v>0.08</v>
      </c>
    </row>
    <row r="212" customFormat="false" ht="15" hidden="false" customHeight="false" outlineLevel="0" collapsed="false">
      <c r="A212" s="6" t="s">
        <v>1905</v>
      </c>
      <c r="B212" s="8" t="str">
        <f aca="false">INDEX(Work_Items!$D$2:$D$300,MATCH(A212,Work_Items!$A$2:$A$300,0))</f>
        <v>AC point (7/36, 1in conduit, isolator)</v>
      </c>
      <c r="C212" s="6" t="s">
        <v>1900</v>
      </c>
      <c r="D212" s="8" t="str">
        <f aca="false">INDEX(Material_Master!$D$2:$D$1000,MATCH(C212,Material_Master!$A$2:$A$1000,0))</f>
        <v>PVC insulated copper wire 7/36 (~4 mm2)</v>
      </c>
      <c r="E212" s="6" t="s">
        <v>3063</v>
      </c>
      <c r="F212" s="6"/>
      <c r="G212" s="6"/>
      <c r="H212" s="9" t="n">
        <f aca="false">Coefficients!$D$162</f>
        <v>24</v>
      </c>
      <c r="I212" s="6" t="s">
        <v>3053</v>
      </c>
      <c r="J212" s="6"/>
      <c r="K212" s="8" t="str">
        <f aca="false">INDEX(Material_Master!$F$2:$F$1000,MATCH(C212,Material_Master!$A$2:$A$1000,0))</f>
        <v>m</v>
      </c>
      <c r="L212" s="10" t="n">
        <f aca="false">INDEX(Material_Master!$Q$2:$Q$1000,MATCH(C212,Material_Master!$A$2:$A$1000,0))</f>
        <v>0.1</v>
      </c>
    </row>
    <row r="213" customFormat="false" ht="15" hidden="false" customHeight="false" outlineLevel="0" collapsed="false">
      <c r="A213" s="6" t="s">
        <v>1905</v>
      </c>
      <c r="B213" s="8" t="str">
        <f aca="false">INDEX(Work_Items!$D$2:$D$300,MATCH(A213,Work_Items!$A$2:$A$300,0))</f>
        <v>AC point (7/36, 1in conduit, isolator)</v>
      </c>
      <c r="C213" s="6" t="s">
        <v>1924</v>
      </c>
      <c r="D213" s="8" t="str">
        <f aca="false">INDEX(Material_Master!$D$2:$D$1000,MATCH(C213,Material_Master!$A$2:$A$1000,0))</f>
        <v>Earth continuity wire 3/29-7/29 (green/yellow)</v>
      </c>
      <c r="E213" s="6" t="s">
        <v>3064</v>
      </c>
      <c r="F213" s="6"/>
      <c r="G213" s="6"/>
      <c r="H213" s="9" t="n">
        <f aca="false">Coefficients!$D$163</f>
        <v>12</v>
      </c>
      <c r="I213" s="6" t="s">
        <v>3053</v>
      </c>
      <c r="J213" s="6"/>
      <c r="K213" s="8" t="str">
        <f aca="false">INDEX(Material_Master!$F$2:$F$1000,MATCH(C213,Material_Master!$A$2:$A$1000,0))</f>
        <v>m</v>
      </c>
      <c r="L213" s="10" t="n">
        <f aca="false">INDEX(Material_Master!$Q$2:$Q$1000,MATCH(C213,Material_Master!$A$2:$A$1000,0))</f>
        <v>0.1</v>
      </c>
    </row>
    <row r="214" customFormat="false" ht="22.35" hidden="false" customHeight="false" outlineLevel="0" collapsed="false">
      <c r="A214" s="6" t="s">
        <v>1905</v>
      </c>
      <c r="B214" s="8" t="str">
        <f aca="false">INDEX(Work_Items!$D$2:$D$300,MATCH(A214,Work_Items!$A$2:$A$300,0))</f>
        <v>AC point (7/36, 1in conduit, isolator)</v>
      </c>
      <c r="C214" s="6" t="s">
        <v>1875</v>
      </c>
      <c r="D214" s="8" t="str">
        <f aca="false">INDEX(Material_Master!$D$2:$D$1000,MATCH(C214,Material_Master!$A$2:$A$1000,0))</f>
        <v>Switch/socket back boxes (GI/PVC) 3x3, 3x6, 4x4</v>
      </c>
      <c r="E214" s="6" t="s">
        <v>2914</v>
      </c>
      <c r="F214" s="6"/>
      <c r="G214" s="6"/>
      <c r="H214" s="9" t="n">
        <f aca="false">Coefficients!$D$2</f>
        <v>1</v>
      </c>
      <c r="I214" s="6" t="s">
        <v>3055</v>
      </c>
      <c r="J214" s="6"/>
      <c r="K214" s="8" t="str">
        <f aca="false">INDEX(Material_Master!$F$2:$F$1000,MATCH(C214,Material_Master!$A$2:$A$1000,0))</f>
        <v>Nos</v>
      </c>
      <c r="L214" s="10" t="n">
        <f aca="false">INDEX(Material_Master!$Q$2:$Q$1000,MATCH(C214,Material_Master!$A$2:$A$1000,0))</f>
        <v>0</v>
      </c>
    </row>
    <row r="215" customFormat="false" ht="15" hidden="false" customHeight="false" outlineLevel="0" collapsed="false">
      <c r="A215" s="6" t="s">
        <v>1905</v>
      </c>
      <c r="B215" s="8" t="str">
        <f aca="false">INDEX(Work_Items!$D$2:$D$300,MATCH(A215,Work_Items!$A$2:$A$300,0))</f>
        <v>AC point (7/36, 1in conduit, isolator)</v>
      </c>
      <c r="C215" s="6" t="s">
        <v>2017</v>
      </c>
      <c r="D215" s="8" t="str">
        <f aca="false">INDEX(Material_Master!$D$2:$D$1000,MATCH(C215,Material_Master!$A$2:$A$1000,0))</f>
        <v>AC isolator switch 20-32A DP</v>
      </c>
      <c r="E215" s="6" t="s">
        <v>2914</v>
      </c>
      <c r="F215" s="6"/>
      <c r="G215" s="6"/>
      <c r="H215" s="9" t="n">
        <f aca="false">Coefficients!$D$2</f>
        <v>1</v>
      </c>
      <c r="I215" s="6" t="s">
        <v>3055</v>
      </c>
      <c r="J215" s="6"/>
      <c r="K215" s="8" t="str">
        <f aca="false">INDEX(Material_Master!$F$2:$F$1000,MATCH(C215,Material_Master!$A$2:$A$1000,0))</f>
        <v>Nos</v>
      </c>
      <c r="L215" s="10" t="n">
        <f aca="false">INDEX(Material_Master!$Q$2:$Q$1000,MATCH(C215,Material_Master!$A$2:$A$1000,0))</f>
        <v>0</v>
      </c>
    </row>
    <row r="216" customFormat="false" ht="22.35" hidden="false" customHeight="false" outlineLevel="0" collapsed="false">
      <c r="A216" s="6" t="s">
        <v>2051</v>
      </c>
      <c r="B216" s="8" t="str">
        <f aca="false">INDEX(Work_Items!$D$2:$D$300,MATCH(A216,Work_Items!$A$2:$A$300,0))</f>
        <v>Low-voltage points (TV, data, intercom, CCTV)</v>
      </c>
      <c r="C216" s="6" t="s">
        <v>1840</v>
      </c>
      <c r="D216" s="8" t="str">
        <f aca="false">INDEX(Material_Master!$D$2:$D$1000,MATCH(C216,Material_Master!$A$2:$A$1000,0))</f>
        <v>PVC conduit 3/4in (20/25 mm) heavy gauge</v>
      </c>
      <c r="E216" s="6" t="s">
        <v>3065</v>
      </c>
      <c r="F216" s="6"/>
      <c r="G216" s="6"/>
      <c r="H216" s="9" t="n">
        <f aca="false">Coefficients!$D$164</f>
        <v>30</v>
      </c>
      <c r="I216" s="6" t="s">
        <v>3051</v>
      </c>
      <c r="J216" s="6"/>
      <c r="K216" s="8" t="str">
        <f aca="false">INDEX(Material_Master!$F$2:$F$1000,MATCH(C216,Material_Master!$A$2:$A$1000,0))</f>
        <v>rft</v>
      </c>
      <c r="L216" s="10" t="n">
        <f aca="false">INDEX(Material_Master!$Q$2:$Q$1000,MATCH(C216,Material_Master!$A$2:$A$1000,0))</f>
        <v>0.08</v>
      </c>
    </row>
    <row r="217" customFormat="false" ht="22.35" hidden="false" customHeight="false" outlineLevel="0" collapsed="false">
      <c r="A217" s="6" t="s">
        <v>2051</v>
      </c>
      <c r="B217" s="8" t="str">
        <f aca="false">INDEX(Work_Items!$D$2:$D$300,MATCH(A217,Work_Items!$A$2:$A$300,0))</f>
        <v>Low-voltage points (TV, data, intercom, CCTV)</v>
      </c>
      <c r="C217" s="6" t="s">
        <v>2044</v>
      </c>
      <c r="D217" s="8" t="str">
        <f aca="false">INDEX(Material_Master!$D$2:$D$1000,MATCH(C217,Material_Master!$A$2:$A$1000,0))</f>
        <v>TV coaxial cable RG6 + TV outlet</v>
      </c>
      <c r="E217" s="6" t="s">
        <v>3066</v>
      </c>
      <c r="F217" s="6"/>
      <c r="G217" s="6"/>
      <c r="H217" s="9" t="n">
        <f aca="false">Coefficients!$D$165</f>
        <v>12</v>
      </c>
      <c r="I217" s="6" t="s">
        <v>3053</v>
      </c>
      <c r="J217" s="6" t="s">
        <v>3067</v>
      </c>
      <c r="K217" s="8" t="str">
        <f aca="false">INDEX(Material_Master!$F$2:$F$1000,MATCH(C217,Material_Master!$A$2:$A$1000,0))</f>
        <v>m</v>
      </c>
      <c r="L217" s="10" t="n">
        <f aca="false">INDEX(Material_Master!$Q$2:$Q$1000,MATCH(C217,Material_Master!$A$2:$A$1000,0))</f>
        <v>0.1</v>
      </c>
    </row>
    <row r="218" customFormat="false" ht="22.35" hidden="false" customHeight="false" outlineLevel="0" collapsed="false">
      <c r="A218" s="6" t="s">
        <v>2051</v>
      </c>
      <c r="B218" s="8" t="str">
        <f aca="false">INDEX(Work_Items!$D$2:$D$300,MATCH(A218,Work_Items!$A$2:$A$300,0))</f>
        <v>Low-voltage points (TV, data, intercom, CCTV)</v>
      </c>
      <c r="C218" s="6" t="s">
        <v>1875</v>
      </c>
      <c r="D218" s="8" t="str">
        <f aca="false">INDEX(Material_Master!$D$2:$D$1000,MATCH(C218,Material_Master!$A$2:$A$1000,0))</f>
        <v>Switch/socket back boxes (GI/PVC) 3x3, 3x6, 4x4</v>
      </c>
      <c r="E218" s="6" t="s">
        <v>2914</v>
      </c>
      <c r="F218" s="6"/>
      <c r="G218" s="6"/>
      <c r="H218" s="9" t="n">
        <f aca="false">Coefficients!$D$2</f>
        <v>1</v>
      </c>
      <c r="I218" s="6" t="s">
        <v>3055</v>
      </c>
      <c r="J218" s="6"/>
      <c r="K218" s="8" t="str">
        <f aca="false">INDEX(Material_Master!$F$2:$F$1000,MATCH(C218,Material_Master!$A$2:$A$1000,0))</f>
        <v>Nos</v>
      </c>
      <c r="L218" s="10" t="n">
        <f aca="false">INDEX(Material_Master!$Q$2:$Q$1000,MATCH(C218,Material_Master!$A$2:$A$1000,0))</f>
        <v>0</v>
      </c>
    </row>
    <row r="219" customFormat="false" ht="22.35" hidden="false" customHeight="false" outlineLevel="0" collapsed="false">
      <c r="A219" s="6" t="s">
        <v>1911</v>
      </c>
      <c r="B219" s="8" t="str">
        <f aca="false">INDEX(Work_Items!$D$2:$D$300,MATCH(A219,Work_Items!$A$2:$A$300,0))</f>
        <v>Sub-main feeders (main DB to floor DBs), 7/44</v>
      </c>
      <c r="C219" s="6" t="s">
        <v>1906</v>
      </c>
      <c r="D219" s="8" t="str">
        <f aca="false">INDEX(Material_Master!$D$2:$D$1000,MATCH(C219,Material_Master!$A$2:$A$1000,0))</f>
        <v>PVC insulated copper wire 7/44 (~6 mm2)</v>
      </c>
      <c r="E219" s="6" t="s">
        <v>3068</v>
      </c>
      <c r="F219" s="6"/>
      <c r="G219" s="6"/>
      <c r="H219" s="9" t="n">
        <f aca="false">Coefficients!$D$167</f>
        <v>0.670559978542081</v>
      </c>
      <c r="I219" s="6" t="s">
        <v>3069</v>
      </c>
      <c r="J219" s="6"/>
      <c r="K219" s="8" t="str">
        <f aca="false">INDEX(Material_Master!$F$2:$F$1000,MATCH(C219,Material_Master!$A$2:$A$1000,0))</f>
        <v>m</v>
      </c>
      <c r="L219" s="10" t="n">
        <f aca="false">INDEX(Material_Master!$Q$2:$Q$1000,MATCH(C219,Material_Master!$A$2:$A$1000,0))</f>
        <v>0.1</v>
      </c>
    </row>
    <row r="220" customFormat="false" ht="22.35" hidden="false" customHeight="false" outlineLevel="0" collapsed="false">
      <c r="A220" s="6" t="s">
        <v>1911</v>
      </c>
      <c r="B220" s="8" t="str">
        <f aca="false">INDEX(Work_Items!$D$2:$D$300,MATCH(A220,Work_Items!$A$2:$A$300,0))</f>
        <v>Sub-main feeders (main DB to floor DBs), 7/44</v>
      </c>
      <c r="C220" s="6" t="s">
        <v>1924</v>
      </c>
      <c r="D220" s="8" t="str">
        <f aca="false">INDEX(Material_Master!$D$2:$D$1000,MATCH(C220,Material_Master!$A$2:$A$1000,0))</f>
        <v>Earth continuity wire 3/29-7/29 (green/yellow)</v>
      </c>
      <c r="E220" s="6" t="s">
        <v>3070</v>
      </c>
      <c r="F220" s="6"/>
      <c r="G220" s="6"/>
      <c r="H220" s="9" t="n">
        <f aca="false">Coefficients!$D$168</f>
        <v>0.33527998927104</v>
      </c>
      <c r="I220" s="6" t="s">
        <v>3069</v>
      </c>
      <c r="J220" s="6"/>
      <c r="K220" s="8" t="str">
        <f aca="false">INDEX(Material_Master!$F$2:$F$1000,MATCH(C220,Material_Master!$A$2:$A$1000,0))</f>
        <v>m</v>
      </c>
      <c r="L220" s="10" t="n">
        <f aca="false">INDEX(Material_Master!$Q$2:$Q$1000,MATCH(C220,Material_Master!$A$2:$A$1000,0))</f>
        <v>0.1</v>
      </c>
    </row>
    <row r="221" customFormat="false" ht="22.35" hidden="false" customHeight="false" outlineLevel="0" collapsed="false">
      <c r="A221" s="6" t="s">
        <v>1911</v>
      </c>
      <c r="B221" s="8" t="str">
        <f aca="false">INDEX(Work_Items!$D$2:$D$300,MATCH(A221,Work_Items!$A$2:$A$300,0))</f>
        <v>Sub-main feeders (main DB to floor DBs), 7/44</v>
      </c>
      <c r="C221" s="6" t="s">
        <v>1855</v>
      </c>
      <c r="D221" s="8" t="str">
        <f aca="false">INDEX(Material_Master!$D$2:$D$1000,MATCH(C221,Material_Master!$A$2:$A$1000,0))</f>
        <v>PVC conduit 1in (32 mm)</v>
      </c>
      <c r="E221" s="6" t="s">
        <v>2914</v>
      </c>
      <c r="F221" s="6"/>
      <c r="G221" s="6"/>
      <c r="H221" s="9" t="n">
        <f aca="false">Coefficients!$D$2</f>
        <v>1</v>
      </c>
      <c r="I221" s="6" t="s">
        <v>3025</v>
      </c>
      <c r="J221" s="6"/>
      <c r="K221" s="8" t="str">
        <f aca="false">INDEX(Material_Master!$F$2:$F$1000,MATCH(C221,Material_Master!$A$2:$A$1000,0))</f>
        <v>rft</v>
      </c>
      <c r="L221" s="10" t="n">
        <f aca="false">INDEX(Material_Master!$Q$2:$Q$1000,MATCH(C221,Material_Master!$A$2:$A$1000,0))</f>
        <v>0.08</v>
      </c>
    </row>
    <row r="222" customFormat="false" ht="22.35" hidden="false" customHeight="false" outlineLevel="0" collapsed="false">
      <c r="A222" s="6" t="s">
        <v>1957</v>
      </c>
      <c r="B222" s="8" t="str">
        <f aca="false">INDEX(Work_Items!$D$2:$D$300,MATCH(A222,Work_Items!$A$2:$A$300,0))</f>
        <v>Distribution boards with MCBs/RCCB</v>
      </c>
      <c r="C222" s="6" t="s">
        <v>1949</v>
      </c>
      <c r="D222" s="8" t="str">
        <f aca="false">INDEX(Material_Master!$D$2:$D$1000,MATCH(C222,Material_Master!$A$2:$A$1000,0))</f>
        <v>Distribution board (main &amp; floor sub-DBs), flush, with busbar</v>
      </c>
      <c r="E222" s="6" t="s">
        <v>2914</v>
      </c>
      <c r="F222" s="6"/>
      <c r="G222" s="6"/>
      <c r="H222" s="9" t="n">
        <f aca="false">Coefficients!$D$2</f>
        <v>1</v>
      </c>
      <c r="I222" s="6" t="s">
        <v>3071</v>
      </c>
      <c r="J222" s="6" t="s">
        <v>3072</v>
      </c>
      <c r="K222" s="8" t="str">
        <f aca="false">INDEX(Material_Master!$F$2:$F$1000,MATCH(C222,Material_Master!$A$2:$A$1000,0))</f>
        <v>Nos</v>
      </c>
      <c r="L222" s="10" t="n">
        <f aca="false">INDEX(Material_Master!$Q$2:$Q$1000,MATCH(C222,Material_Master!$A$2:$A$1000,0))</f>
        <v>0</v>
      </c>
    </row>
    <row r="223" customFormat="false" ht="15" hidden="false" customHeight="false" outlineLevel="0" collapsed="false">
      <c r="A223" s="6" t="s">
        <v>1957</v>
      </c>
      <c r="B223" s="8" t="str">
        <f aca="false">INDEX(Work_Items!$D$2:$D$300,MATCH(A223,Work_Items!$A$2:$A$300,0))</f>
        <v>Distribution boards with MCBs/RCCB</v>
      </c>
      <c r="C223" s="6" t="s">
        <v>1976</v>
      </c>
      <c r="D223" s="8" t="str">
        <f aca="false">INDEX(Material_Master!$D$2:$D$1000,MATCH(C223,Material_Master!$A$2:$A$1000,0))</f>
        <v>RCCB/RCBO 30 mA</v>
      </c>
      <c r="E223" s="6" t="s">
        <v>2914</v>
      </c>
      <c r="F223" s="6"/>
      <c r="G223" s="6"/>
      <c r="H223" s="9" t="n">
        <f aca="false">Coefficients!$D$2</f>
        <v>1</v>
      </c>
      <c r="I223" s="6" t="s">
        <v>3073</v>
      </c>
      <c r="J223" s="6" t="s">
        <v>3074</v>
      </c>
      <c r="K223" s="8" t="str">
        <f aca="false">INDEX(Material_Master!$F$2:$F$1000,MATCH(C223,Material_Master!$A$2:$A$1000,0))</f>
        <v>Nos</v>
      </c>
      <c r="L223" s="10" t="n">
        <f aca="false">INDEX(Material_Master!$Q$2:$Q$1000,MATCH(C223,Material_Master!$A$2:$A$1000,0))</f>
        <v>0</v>
      </c>
    </row>
    <row r="224" customFormat="false" ht="32.8" hidden="false" customHeight="false" outlineLevel="0" collapsed="false">
      <c r="A224" s="6" t="s">
        <v>1942</v>
      </c>
      <c r="B224" s="8" t="str">
        <f aca="false">INDEX(Work_Items!$D$2:$D$300,MATCH(A224,Work_Items!$A$2:$A$300,0))</f>
        <v>Earthing pit complete (drawing detail)</v>
      </c>
      <c r="C224" s="6" t="s">
        <v>1933</v>
      </c>
      <c r="D224" s="8" t="str">
        <f aca="false">INDEX(Material_Master!$D$2:$D$1000,MATCH(C224,Material_Master!$A$2:$A$1000,0))</f>
        <v>Earth electrode set: tinned copper spike + 10 ft GI pipe, charcoal &amp; salt, inspection chamber</v>
      </c>
      <c r="E224" s="6" t="s">
        <v>2914</v>
      </c>
      <c r="F224" s="6"/>
      <c r="G224" s="6"/>
      <c r="H224" s="9" t="n">
        <f aca="false">Coefficients!$D$2</f>
        <v>1</v>
      </c>
      <c r="I224" s="6" t="s">
        <v>3075</v>
      </c>
      <c r="J224" s="6"/>
      <c r="K224" s="8" t="str">
        <f aca="false">INDEX(Material_Master!$F$2:$F$1000,MATCH(C224,Material_Master!$A$2:$A$1000,0))</f>
        <v>set</v>
      </c>
      <c r="L224" s="10" t="n">
        <f aca="false">INDEX(Material_Master!$Q$2:$Q$1000,MATCH(C224,Material_Master!$A$2:$A$1000,0))</f>
        <v>0</v>
      </c>
    </row>
    <row r="225" customFormat="false" ht="15" hidden="false" customHeight="false" outlineLevel="0" collapsed="false">
      <c r="A225" s="6" t="s">
        <v>1942</v>
      </c>
      <c r="B225" s="8" t="str">
        <f aca="false">INDEX(Work_Items!$D$2:$D$300,MATCH(A225,Work_Items!$A$2:$A$300,0))</f>
        <v>Earthing pit complete (drawing detail)</v>
      </c>
      <c r="C225" s="6" t="s">
        <v>1943</v>
      </c>
      <c r="D225" s="8" t="str">
        <f aca="false">INDEX(Material_Master!$D$2:$D$1000,MATCH(C225,Material_Master!$A$2:$A$1000,0))</f>
        <v>Bare copper earth conductor / tape</v>
      </c>
      <c r="E225" s="6" t="s">
        <v>3076</v>
      </c>
      <c r="F225" s="6"/>
      <c r="G225" s="6"/>
      <c r="H225" s="9" t="n">
        <f aca="false">Coefficients!$D$169</f>
        <v>15</v>
      </c>
      <c r="I225" s="6" t="s">
        <v>3077</v>
      </c>
      <c r="J225" s="6"/>
      <c r="K225" s="8" t="str">
        <f aca="false">INDEX(Material_Master!$F$2:$F$1000,MATCH(C225,Material_Master!$A$2:$A$1000,0))</f>
        <v>m</v>
      </c>
      <c r="L225" s="10" t="n">
        <f aca="false">INDEX(Material_Master!$Q$2:$Q$1000,MATCH(C225,Material_Master!$A$2:$A$1000,0))</f>
        <v>0.1</v>
      </c>
    </row>
    <row r="226" customFormat="false" ht="22.35" hidden="false" customHeight="false" outlineLevel="0" collapsed="false">
      <c r="A226" s="6" t="s">
        <v>2149</v>
      </c>
      <c r="B226" s="8" t="str">
        <f aca="false">INDEX(Work_Items!$D$2:$D$300,MATCH(A226,Work_Items!$A$2:$A$300,0))</f>
        <v>Split AC pre-piping (copper, insulation, drain, cable)</v>
      </c>
      <c r="C226" s="6" t="s">
        <v>2140</v>
      </c>
      <c r="D226" s="8" t="str">
        <f aca="false">INDEX(Material_Master!$D$2:$D$1000,MATCH(C226,Material_Master!$A$2:$A$1000,0))</f>
        <v>Copper refrigerant pipe pair 1/4in + 1/2in (or 3/8+5/8 for 2 ton)</v>
      </c>
      <c r="E226" s="6" t="s">
        <v>3078</v>
      </c>
      <c r="F226" s="6"/>
      <c r="G226" s="6"/>
      <c r="H226" s="9" t="n">
        <f aca="false">Coefficients!$D$215</f>
        <v>15</v>
      </c>
      <c r="I226" s="6" t="s">
        <v>3079</v>
      </c>
      <c r="J226" s="6"/>
      <c r="K226" s="8" t="str">
        <f aca="false">INDEX(Material_Master!$F$2:$F$1000,MATCH(C226,Material_Master!$A$2:$A$1000,0))</f>
        <v>rft</v>
      </c>
      <c r="L226" s="10" t="n">
        <f aca="false">INDEX(Material_Master!$Q$2:$Q$1000,MATCH(C226,Material_Master!$A$2:$A$1000,0))</f>
        <v>0.1</v>
      </c>
    </row>
    <row r="227" customFormat="false" ht="22.35" hidden="false" customHeight="false" outlineLevel="0" collapsed="false">
      <c r="A227" s="6" t="s">
        <v>2149</v>
      </c>
      <c r="B227" s="8" t="str">
        <f aca="false">INDEX(Work_Items!$D$2:$D$300,MATCH(A227,Work_Items!$A$2:$A$300,0))</f>
        <v>Split AC pre-piping (copper, insulation, drain, cable)</v>
      </c>
      <c r="C227" s="6" t="s">
        <v>2150</v>
      </c>
      <c r="D227" s="8" t="str">
        <f aca="false">INDEX(Material_Master!$D$2:$D$1000,MATCH(C227,Material_Master!$A$2:$A$1000,0))</f>
        <v>Closed-cell rubber insulation (Armaflex type) for Cu pipes</v>
      </c>
      <c r="E227" s="6" t="s">
        <v>3080</v>
      </c>
      <c r="F227" s="6"/>
      <c r="G227" s="6"/>
      <c r="H227" s="9" t="n">
        <f aca="false">Coefficients!$D$216</f>
        <v>30</v>
      </c>
      <c r="I227" s="6" t="s">
        <v>3079</v>
      </c>
      <c r="J227" s="6"/>
      <c r="K227" s="8" t="str">
        <f aca="false">INDEX(Material_Master!$F$2:$F$1000,MATCH(C227,Material_Master!$A$2:$A$1000,0))</f>
        <v>rft</v>
      </c>
      <c r="L227" s="10" t="n">
        <f aca="false">INDEX(Material_Master!$Q$2:$Q$1000,MATCH(C227,Material_Master!$A$2:$A$1000,0))</f>
        <v>0.05</v>
      </c>
    </row>
    <row r="228" customFormat="false" ht="22.35" hidden="false" customHeight="false" outlineLevel="0" collapsed="false">
      <c r="A228" s="6" t="s">
        <v>2149</v>
      </c>
      <c r="B228" s="8" t="str">
        <f aca="false">INDEX(Work_Items!$D$2:$D$300,MATCH(A228,Work_Items!$A$2:$A$300,0))</f>
        <v>Split AC pre-piping (copper, insulation, drain, cable)</v>
      </c>
      <c r="C228" s="6" t="s">
        <v>2155</v>
      </c>
      <c r="D228" s="8" t="str">
        <f aca="false">INDEX(Material_Master!$D$2:$D$1000,MATCH(C228,Material_Master!$A$2:$A$1000,0))</f>
        <v>AC interconnecting cable 4-core 1.5 mm2</v>
      </c>
      <c r="E228" s="6" t="s">
        <v>3081</v>
      </c>
      <c r="F228" s="6"/>
      <c r="G228" s="6"/>
      <c r="H228" s="9" t="n">
        <f aca="false">Coefficients!$D$217</f>
        <v>5.571999853696</v>
      </c>
      <c r="I228" s="6" t="s">
        <v>3082</v>
      </c>
      <c r="J228" s="6"/>
      <c r="K228" s="8" t="str">
        <f aca="false">INDEX(Material_Master!$F$2:$F$1000,MATCH(C228,Material_Master!$A$2:$A$1000,0))</f>
        <v>m</v>
      </c>
      <c r="L228" s="10" t="n">
        <f aca="false">INDEX(Material_Master!$Q$2:$Q$1000,MATCH(C228,Material_Master!$A$2:$A$1000,0))</f>
        <v>0.1</v>
      </c>
    </row>
    <row r="229" customFormat="false" ht="22.35" hidden="false" customHeight="false" outlineLevel="0" collapsed="false">
      <c r="A229" s="6" t="s">
        <v>2149</v>
      </c>
      <c r="B229" s="8" t="str">
        <f aca="false">INDEX(Work_Items!$D$2:$D$300,MATCH(A229,Work_Items!$A$2:$A$300,0))</f>
        <v>Split AC pre-piping (copper, insulation, drain, cable)</v>
      </c>
      <c r="C229" s="6" t="s">
        <v>2158</v>
      </c>
      <c r="D229" s="8" t="str">
        <f aca="false">INDEX(Material_Master!$D$2:$D$1000,MATCH(C229,Material_Master!$A$2:$A$1000,0))</f>
        <v>Condensate drain pipe (uPVC 3/4-1in)</v>
      </c>
      <c r="E229" s="6" t="s">
        <v>3083</v>
      </c>
      <c r="F229" s="6"/>
      <c r="G229" s="6"/>
      <c r="H229" s="9" t="n">
        <f aca="false">Coefficients!$D$218</f>
        <v>20</v>
      </c>
      <c r="I229" s="6" t="s">
        <v>3079</v>
      </c>
      <c r="J229" s="6"/>
      <c r="K229" s="8" t="str">
        <f aca="false">INDEX(Material_Master!$F$2:$F$1000,MATCH(C229,Material_Master!$A$2:$A$1000,0))</f>
        <v>rft</v>
      </c>
      <c r="L229" s="10" t="n">
        <f aca="false">INDEX(Material_Master!$Q$2:$Q$1000,MATCH(C229,Material_Master!$A$2:$A$1000,0))</f>
        <v>0.05</v>
      </c>
    </row>
    <row r="230" customFormat="false" ht="22.35" hidden="false" customHeight="false" outlineLevel="0" collapsed="false">
      <c r="A230" s="6" t="s">
        <v>2149</v>
      </c>
      <c r="B230" s="8" t="str">
        <f aca="false">INDEX(Work_Items!$D$2:$D$300,MATCH(A230,Work_Items!$A$2:$A$300,0))</f>
        <v>Split AC pre-piping (copper, insulation, drain, cable)</v>
      </c>
      <c r="C230" s="6" t="s">
        <v>2161</v>
      </c>
      <c r="D230" s="8" t="str">
        <f aca="false">INDEX(Material_Master!$D$2:$D$1000,MATCH(C230,Material_Master!$A$2:$A$1000,0))</f>
        <v>Outdoor unit MS bracket / stand (galvanised)</v>
      </c>
      <c r="E230" s="6" t="s">
        <v>2914</v>
      </c>
      <c r="F230" s="6"/>
      <c r="G230" s="6"/>
      <c r="H230" s="9" t="n">
        <f aca="false">Coefficients!$D$2</f>
        <v>1</v>
      </c>
      <c r="I230" s="6" t="s">
        <v>3084</v>
      </c>
      <c r="J230" s="6"/>
      <c r="K230" s="8" t="str">
        <f aca="false">INDEX(Material_Master!$F$2:$F$1000,MATCH(C230,Material_Master!$A$2:$A$1000,0))</f>
        <v>Nos</v>
      </c>
      <c r="L230" s="10" t="n">
        <f aca="false">INDEX(Material_Master!$Q$2:$Q$1000,MATCH(C230,Material_Master!$A$2:$A$1000,0))</f>
        <v>0</v>
      </c>
    </row>
    <row r="231" customFormat="false" ht="22.35" hidden="false" customHeight="false" outlineLevel="0" collapsed="false">
      <c r="A231" s="6" t="s">
        <v>2149</v>
      </c>
      <c r="B231" s="8" t="str">
        <f aca="false">INDEX(Work_Items!$D$2:$D$300,MATCH(A231,Work_Items!$A$2:$A$300,0))</f>
        <v>Split AC pre-piping (copper, insulation, drain, cable)</v>
      </c>
      <c r="C231" s="6" t="s">
        <v>2165</v>
      </c>
      <c r="D231" s="8" t="str">
        <f aca="false">INDEX(Material_Master!$D$2:$D$1000,MATCH(C231,Material_Master!$A$2:$A$1000,0))</f>
        <v>Wall sleeve for AC piping (uPVC 3in)</v>
      </c>
      <c r="E231" s="6" t="s">
        <v>2914</v>
      </c>
      <c r="F231" s="6"/>
      <c r="G231" s="6"/>
      <c r="H231" s="9" t="n">
        <f aca="false">Coefficients!$D$2</f>
        <v>1</v>
      </c>
      <c r="I231" s="6" t="s">
        <v>3084</v>
      </c>
      <c r="J231" s="6"/>
      <c r="K231" s="8" t="str">
        <f aca="false">INDEX(Material_Master!$F$2:$F$1000,MATCH(C231,Material_Master!$A$2:$A$1000,0))</f>
        <v>Nos</v>
      </c>
      <c r="L231" s="10" t="n">
        <f aca="false">INDEX(Material_Master!$Q$2:$Q$1000,MATCH(C231,Material_Master!$A$2:$A$1000,0))</f>
        <v>0</v>
      </c>
    </row>
    <row r="232" customFormat="false" ht="15" hidden="false" customHeight="false" outlineLevel="0" collapsed="false">
      <c r="A232" s="6" t="s">
        <v>2177</v>
      </c>
      <c r="B232" s="8" t="str">
        <f aca="false">INDEX(Work_Items!$D$2:$D$300,MATCH(A232,Work_Items!$A$2:$A$300,0))</f>
        <v>Exhaust fan installation</v>
      </c>
      <c r="C232" s="6" t="s">
        <v>2170</v>
      </c>
      <c r="D232" s="8" t="str">
        <f aca="false">INDEX(Material_Master!$D$2:$D$1000,MATCH(C232,Material_Master!$A$2:$A$1000,0))</f>
        <v>Exhaust fan 8-12in with louvre/shutter</v>
      </c>
      <c r="E232" s="6" t="s">
        <v>2914</v>
      </c>
      <c r="F232" s="6"/>
      <c r="G232" s="6"/>
      <c r="H232" s="9" t="n">
        <f aca="false">Coefficients!$D$2</f>
        <v>1</v>
      </c>
      <c r="I232" s="6" t="s">
        <v>3071</v>
      </c>
      <c r="J232" s="6"/>
      <c r="K232" s="8" t="str">
        <f aca="false">INDEX(Material_Master!$F$2:$F$1000,MATCH(C232,Material_Master!$A$2:$A$1000,0))</f>
        <v>Nos</v>
      </c>
      <c r="L232" s="10" t="n">
        <f aca="false">INDEX(Material_Master!$Q$2:$Q$1000,MATCH(C232,Material_Master!$A$2:$A$1000,0))</f>
        <v>0</v>
      </c>
    </row>
    <row r="233" customFormat="false" ht="15" hidden="false" customHeight="false" outlineLevel="0" collapsed="false">
      <c r="A233" s="6" t="s">
        <v>1489</v>
      </c>
      <c r="B233" s="8" t="str">
        <f aca="false">INDEX(Work_Items!$D$2:$D$300,MATCH(A233,Work_Items!$A$2:$A$300,0))</f>
        <v>WC complete (concealed cistern, wall-hung)</v>
      </c>
      <c r="C233" s="6" t="s">
        <v>1665</v>
      </c>
      <c r="D233" s="8" t="str">
        <f aca="false">INDEX(Material_Master!$D$2:$D$1000,MATCH(C233,Material_Master!$A$2:$A$1000,0))</f>
        <v>Wall-hung WC pan (vitreous china)</v>
      </c>
      <c r="E233" s="6" t="s">
        <v>2914</v>
      </c>
      <c r="F233" s="6"/>
      <c r="G233" s="6"/>
      <c r="H233" s="9" t="n">
        <f aca="false">Coefficients!$D$2</f>
        <v>1</v>
      </c>
      <c r="I233" s="6" t="s">
        <v>115</v>
      </c>
      <c r="J233" s="6"/>
      <c r="K233" s="8" t="str">
        <f aca="false">INDEX(Material_Master!$F$2:$F$1000,MATCH(C233,Material_Master!$A$2:$A$1000,0))</f>
        <v>Nos</v>
      </c>
      <c r="L233" s="10" t="n">
        <f aca="false">INDEX(Material_Master!$Q$2:$Q$1000,MATCH(C233,Material_Master!$A$2:$A$1000,0))</f>
        <v>0</v>
      </c>
    </row>
    <row r="234" customFormat="false" ht="15" hidden="false" customHeight="false" outlineLevel="0" collapsed="false">
      <c r="A234" s="6" t="s">
        <v>1489</v>
      </c>
      <c r="B234" s="8" t="str">
        <f aca="false">INDEX(Work_Items!$D$2:$D$300,MATCH(A234,Work_Items!$A$2:$A$300,0))</f>
        <v>WC complete (concealed cistern, wall-hung)</v>
      </c>
      <c r="C234" s="6" t="s">
        <v>1674</v>
      </c>
      <c r="D234" s="8" t="str">
        <f aca="false">INDEX(Material_Master!$D$2:$D$1000,MATCH(C234,Material_Master!$A$2:$A$1000,0))</f>
        <v>Concealed cistern frame + dual flush plate</v>
      </c>
      <c r="E234" s="6" t="s">
        <v>2914</v>
      </c>
      <c r="F234" s="6"/>
      <c r="G234" s="6"/>
      <c r="H234" s="9" t="n">
        <f aca="false">Coefficients!$D$2</f>
        <v>1</v>
      </c>
      <c r="I234" s="6" t="s">
        <v>115</v>
      </c>
      <c r="J234" s="6"/>
      <c r="K234" s="8" t="str">
        <f aca="false">INDEX(Material_Master!$F$2:$F$1000,MATCH(C234,Material_Master!$A$2:$A$1000,0))</f>
        <v>Nos</v>
      </c>
      <c r="L234" s="10" t="n">
        <f aca="false">INDEX(Material_Master!$Q$2:$Q$1000,MATCH(C234,Material_Master!$A$2:$A$1000,0))</f>
        <v>0</v>
      </c>
    </row>
    <row r="235" customFormat="false" ht="22.35" hidden="false" customHeight="false" outlineLevel="0" collapsed="false">
      <c r="A235" s="6" t="s">
        <v>1489</v>
      </c>
      <c r="B235" s="8" t="str">
        <f aca="false">INDEX(Work_Items!$D$2:$D$300,MATCH(A235,Work_Items!$A$2:$A$300,0))</f>
        <v>WC complete (concealed cistern, wall-hung)</v>
      </c>
      <c r="C235" s="6" t="s">
        <v>1293</v>
      </c>
      <c r="D235" s="8" t="str">
        <f aca="false">INDEX(Material_Master!$D$2:$D$1000,MATCH(C235,Material_Master!$A$2:$A$1000,0))</f>
        <v>PPR pipe PN20, 20 mm OD (cold water branches)</v>
      </c>
      <c r="E235" s="6" t="s">
        <v>3085</v>
      </c>
      <c r="F235" s="6"/>
      <c r="G235" s="6"/>
      <c r="H235" s="9" t="n">
        <f aca="false">Coefficients!$D$170</f>
        <v>12</v>
      </c>
      <c r="I235" s="6" t="s">
        <v>77</v>
      </c>
      <c r="J235" s="6"/>
      <c r="K235" s="8" t="str">
        <f aca="false">INDEX(Material_Master!$F$2:$F$1000,MATCH(C235,Material_Master!$A$2:$A$1000,0))</f>
        <v>rft</v>
      </c>
      <c r="L235" s="10" t="n">
        <f aca="false">INDEX(Material_Master!$Q$2:$Q$1000,MATCH(C235,Material_Master!$A$2:$A$1000,0))</f>
        <v>0.07</v>
      </c>
    </row>
    <row r="236" customFormat="false" ht="15" hidden="false" customHeight="false" outlineLevel="0" collapsed="false">
      <c r="A236" s="6" t="s">
        <v>1489</v>
      </c>
      <c r="B236" s="8" t="str">
        <f aca="false">INDEX(Work_Items!$D$2:$D$300,MATCH(A236,Work_Items!$A$2:$A$300,0))</f>
        <v>WC complete (concealed cistern, wall-hung)</v>
      </c>
      <c r="C236" s="6" t="s">
        <v>1479</v>
      </c>
      <c r="D236" s="8" t="str">
        <f aca="false">INDEX(Material_Master!$D$2:$D$1000,MATCH(C236,Material_Master!$A$2:$A$1000,0))</f>
        <v>uPVC soil pipe 4in (110 mm)</v>
      </c>
      <c r="E236" s="6" t="s">
        <v>3086</v>
      </c>
      <c r="F236" s="6"/>
      <c r="G236" s="6"/>
      <c r="H236" s="9" t="n">
        <f aca="false">Coefficients!$D$171</f>
        <v>8</v>
      </c>
      <c r="I236" s="6" t="s">
        <v>77</v>
      </c>
      <c r="J236" s="6"/>
      <c r="K236" s="8" t="str">
        <f aca="false">INDEX(Material_Master!$F$2:$F$1000,MATCH(C236,Material_Master!$A$2:$A$1000,0))</f>
        <v>rft</v>
      </c>
      <c r="L236" s="10" t="n">
        <f aca="false">INDEX(Material_Master!$Q$2:$Q$1000,MATCH(C236,Material_Master!$A$2:$A$1000,0))</f>
        <v>0.05</v>
      </c>
    </row>
    <row r="237" customFormat="false" ht="22.35" hidden="false" customHeight="false" outlineLevel="0" collapsed="false">
      <c r="A237" s="6" t="s">
        <v>1489</v>
      </c>
      <c r="B237" s="8" t="str">
        <f aca="false">INDEX(Work_Items!$D$2:$D$300,MATCH(A237,Work_Items!$A$2:$A$300,0))</f>
        <v>WC complete (concealed cistern, wall-hung)</v>
      </c>
      <c r="C237" s="6" t="s">
        <v>1338</v>
      </c>
      <c r="D237" s="8" t="str">
        <f aca="false">INDEX(Material_Master!$D$2:$D$1000,MATCH(C237,Material_Master!$A$2:$A$1000,0))</f>
        <v>PPR fittings PN25 (elbows, tees, sockets, reducers)</v>
      </c>
      <c r="E237" s="6" t="s">
        <v>3087</v>
      </c>
      <c r="F237" s="6"/>
      <c r="G237" s="6"/>
      <c r="H237" s="9" t="n">
        <f aca="false">Coefficients!$D$172</f>
        <v>6</v>
      </c>
      <c r="I237" s="6" t="s">
        <v>115</v>
      </c>
      <c r="J237" s="6"/>
      <c r="K237" s="8" t="str">
        <f aca="false">INDEX(Material_Master!$F$2:$F$1000,MATCH(C237,Material_Master!$A$2:$A$1000,0))</f>
        <v>Nos</v>
      </c>
      <c r="L237" s="10" t="n">
        <f aca="false">INDEX(Material_Master!$Q$2:$Q$1000,MATCH(C237,Material_Master!$A$2:$A$1000,0))</f>
        <v>0.05</v>
      </c>
    </row>
    <row r="238" customFormat="false" ht="15" hidden="false" customHeight="false" outlineLevel="0" collapsed="false">
      <c r="A238" s="6" t="s">
        <v>1489</v>
      </c>
      <c r="B238" s="8" t="str">
        <f aca="false">INDEX(Work_Items!$D$2:$D$300,MATCH(A238,Work_Items!$A$2:$A$300,0))</f>
        <v>WC complete (concealed cistern, wall-hung)</v>
      </c>
      <c r="C238" s="6" t="s">
        <v>1714</v>
      </c>
      <c r="D238" s="8" t="str">
        <f aca="false">INDEX(Material_Master!$D$2:$D$1000,MATCH(C238,Material_Master!$A$2:$A$1000,0))</f>
        <v>Angle valves (stop cocks) 1/2in</v>
      </c>
      <c r="E238" s="6" t="s">
        <v>2914</v>
      </c>
      <c r="F238" s="6"/>
      <c r="G238" s="6"/>
      <c r="H238" s="9" t="n">
        <f aca="false">Coefficients!$D$2</f>
        <v>1</v>
      </c>
      <c r="I238" s="6" t="s">
        <v>115</v>
      </c>
      <c r="J238" s="6"/>
      <c r="K238" s="8" t="str">
        <f aca="false">INDEX(Material_Master!$F$2:$F$1000,MATCH(C238,Material_Master!$A$2:$A$1000,0))</f>
        <v>Nos</v>
      </c>
      <c r="L238" s="10" t="n">
        <f aca="false">INDEX(Material_Master!$Q$2:$Q$1000,MATCH(C238,Material_Master!$A$2:$A$1000,0))</f>
        <v>0</v>
      </c>
    </row>
    <row r="239" customFormat="false" ht="15" hidden="false" customHeight="false" outlineLevel="0" collapsed="false">
      <c r="A239" s="6" t="s">
        <v>1506</v>
      </c>
      <c r="B239" s="8" t="str">
        <f aca="false">INDEX(Work_Items!$D$2:$D$300,MATCH(A239,Work_Items!$A$2:$A$300,0))</f>
        <v>Wash basin/vanity complete</v>
      </c>
      <c r="C239" s="6" t="s">
        <v>1687</v>
      </c>
      <c r="D239" s="8" t="str">
        <f aca="false">INDEX(Material_Master!$D$2:$D$1000,MATCH(C239,Material_Master!$A$2:$A$1000,0))</f>
        <v>Wash basin / vanity top basin</v>
      </c>
      <c r="E239" s="6" t="s">
        <v>2914</v>
      </c>
      <c r="F239" s="6"/>
      <c r="G239" s="6"/>
      <c r="H239" s="9" t="n">
        <f aca="false">Coefficients!$D$2</f>
        <v>1</v>
      </c>
      <c r="I239" s="6" t="s">
        <v>115</v>
      </c>
      <c r="J239" s="6"/>
      <c r="K239" s="8" t="str">
        <f aca="false">INDEX(Material_Master!$F$2:$F$1000,MATCH(C239,Material_Master!$A$2:$A$1000,0))</f>
        <v>Nos</v>
      </c>
      <c r="L239" s="10" t="n">
        <f aca="false">INDEX(Material_Master!$Q$2:$Q$1000,MATCH(C239,Material_Master!$A$2:$A$1000,0))</f>
        <v>0</v>
      </c>
    </row>
    <row r="240" customFormat="false" ht="15" hidden="false" customHeight="false" outlineLevel="0" collapsed="false">
      <c r="A240" s="6" t="s">
        <v>1506</v>
      </c>
      <c r="B240" s="8" t="str">
        <f aca="false">INDEX(Work_Items!$D$2:$D$300,MATCH(A240,Work_Items!$A$2:$A$300,0))</f>
        <v>Wash basin/vanity complete</v>
      </c>
      <c r="C240" s="6" t="s">
        <v>1693</v>
      </c>
      <c r="D240" s="8" t="str">
        <f aca="false">INDEX(Material_Master!$D$2:$D$1000,MATCH(C240,Material_Master!$A$2:$A$1000,0))</f>
        <v>Basin mixer (single lever)</v>
      </c>
      <c r="E240" s="6" t="s">
        <v>2914</v>
      </c>
      <c r="F240" s="6"/>
      <c r="G240" s="6"/>
      <c r="H240" s="9" t="n">
        <f aca="false">Coefficients!$D$2</f>
        <v>1</v>
      </c>
      <c r="I240" s="6" t="s">
        <v>115</v>
      </c>
      <c r="J240" s="6"/>
      <c r="K240" s="8" t="str">
        <f aca="false">INDEX(Material_Master!$F$2:$F$1000,MATCH(C240,Material_Master!$A$2:$A$1000,0))</f>
        <v>Nos</v>
      </c>
      <c r="L240" s="10" t="n">
        <f aca="false">INDEX(Material_Master!$Q$2:$Q$1000,MATCH(C240,Material_Master!$A$2:$A$1000,0))</f>
        <v>0</v>
      </c>
    </row>
    <row r="241" customFormat="false" ht="22.35" hidden="false" customHeight="false" outlineLevel="0" collapsed="false">
      <c r="A241" s="6" t="s">
        <v>1506</v>
      </c>
      <c r="B241" s="8" t="str">
        <f aca="false">INDEX(Work_Items!$D$2:$D$300,MATCH(A241,Work_Items!$A$2:$A$300,0))</f>
        <v>Wash basin/vanity complete</v>
      </c>
      <c r="C241" s="6" t="s">
        <v>1293</v>
      </c>
      <c r="D241" s="8" t="str">
        <f aca="false">INDEX(Material_Master!$D$2:$D$1000,MATCH(C241,Material_Master!$A$2:$A$1000,0))</f>
        <v>PPR pipe PN20, 20 mm OD (cold water branches)</v>
      </c>
      <c r="E241" s="6" t="s">
        <v>3088</v>
      </c>
      <c r="F241" s="6"/>
      <c r="G241" s="6"/>
      <c r="H241" s="9" t="n">
        <f aca="false">Coefficients!$D$173</f>
        <v>10</v>
      </c>
      <c r="I241" s="6" t="s">
        <v>77</v>
      </c>
      <c r="J241" s="6"/>
      <c r="K241" s="8" t="str">
        <f aca="false">INDEX(Material_Master!$F$2:$F$1000,MATCH(C241,Material_Master!$A$2:$A$1000,0))</f>
        <v>rft</v>
      </c>
      <c r="L241" s="10" t="n">
        <f aca="false">INDEX(Material_Master!$Q$2:$Q$1000,MATCH(C241,Material_Master!$A$2:$A$1000,0))</f>
        <v>0.07</v>
      </c>
    </row>
    <row r="242" customFormat="false" ht="22.35" hidden="false" customHeight="false" outlineLevel="0" collapsed="false">
      <c r="A242" s="6" t="s">
        <v>1506</v>
      </c>
      <c r="B242" s="8" t="str">
        <f aca="false">INDEX(Work_Items!$D$2:$D$300,MATCH(A242,Work_Items!$A$2:$A$300,0))</f>
        <v>Wash basin/vanity complete</v>
      </c>
      <c r="C242" s="6" t="s">
        <v>1330</v>
      </c>
      <c r="D242" s="8" t="str">
        <f aca="false">INDEX(Material_Master!$D$2:$D$1000,MATCH(C242,Material_Master!$A$2:$A$1000,0))</f>
        <v>PPR pipe for hot water (PN20/PN25 or fibre-composite) 20-25 mm</v>
      </c>
      <c r="E242" s="6" t="s">
        <v>3089</v>
      </c>
      <c r="F242" s="6"/>
      <c r="G242" s="6"/>
      <c r="H242" s="9" t="n">
        <f aca="false">Coefficients!$D$174</f>
        <v>10</v>
      </c>
      <c r="I242" s="6" t="s">
        <v>77</v>
      </c>
      <c r="J242" s="6"/>
      <c r="K242" s="8" t="str">
        <f aca="false">INDEX(Material_Master!$F$2:$F$1000,MATCH(C242,Material_Master!$A$2:$A$1000,0))</f>
        <v>rft</v>
      </c>
      <c r="L242" s="10" t="n">
        <f aca="false">INDEX(Material_Master!$Q$2:$Q$1000,MATCH(C242,Material_Master!$A$2:$A$1000,0))</f>
        <v>0.07</v>
      </c>
    </row>
    <row r="243" customFormat="false" ht="15" hidden="false" customHeight="false" outlineLevel="0" collapsed="false">
      <c r="A243" s="6" t="s">
        <v>1506</v>
      </c>
      <c r="B243" s="8" t="str">
        <f aca="false">INDEX(Work_Items!$D$2:$D$300,MATCH(A243,Work_Items!$A$2:$A$300,0))</f>
        <v>Wash basin/vanity complete</v>
      </c>
      <c r="C243" s="6" t="s">
        <v>1501</v>
      </c>
      <c r="D243" s="8" t="str">
        <f aca="false">INDEX(Material_Master!$D$2:$D$1000,MATCH(C243,Material_Master!$A$2:$A$1000,0))</f>
        <v>uPVC waste pipe 2in (50/63 mm)</v>
      </c>
      <c r="E243" s="6" t="s">
        <v>3090</v>
      </c>
      <c r="F243" s="6"/>
      <c r="G243" s="6"/>
      <c r="H243" s="9" t="n">
        <f aca="false">Coefficients!$D$175</f>
        <v>6</v>
      </c>
      <c r="I243" s="6" t="s">
        <v>77</v>
      </c>
      <c r="J243" s="6"/>
      <c r="K243" s="8" t="str">
        <f aca="false">INDEX(Material_Master!$F$2:$F$1000,MATCH(C243,Material_Master!$A$2:$A$1000,0))</f>
        <v>rft</v>
      </c>
      <c r="L243" s="10" t="n">
        <f aca="false">INDEX(Material_Master!$Q$2:$Q$1000,MATCH(C243,Material_Master!$A$2:$A$1000,0))</f>
        <v>0.05</v>
      </c>
    </row>
    <row r="244" customFormat="false" ht="15" hidden="false" customHeight="false" outlineLevel="0" collapsed="false">
      <c r="A244" s="6" t="s">
        <v>1506</v>
      </c>
      <c r="B244" s="8" t="str">
        <f aca="false">INDEX(Work_Items!$D$2:$D$300,MATCH(A244,Work_Items!$A$2:$A$300,0))</f>
        <v>Wash basin/vanity complete</v>
      </c>
      <c r="C244" s="6" t="s">
        <v>1564</v>
      </c>
      <c r="D244" s="8" t="str">
        <f aca="false">INDEX(Material_Master!$D$2:$D$1000,MATCH(C244,Material_Master!$A$2:$A$1000,0))</f>
        <v>Bottle trap (chrome) for wash basins</v>
      </c>
      <c r="E244" s="6" t="s">
        <v>2914</v>
      </c>
      <c r="F244" s="6"/>
      <c r="G244" s="6"/>
      <c r="H244" s="9" t="n">
        <f aca="false">Coefficients!$D$2</f>
        <v>1</v>
      </c>
      <c r="I244" s="6" t="s">
        <v>115</v>
      </c>
      <c r="J244" s="6"/>
      <c r="K244" s="8" t="str">
        <f aca="false">INDEX(Material_Master!$F$2:$F$1000,MATCH(C244,Material_Master!$A$2:$A$1000,0))</f>
        <v>Nos</v>
      </c>
      <c r="L244" s="10" t="n">
        <f aca="false">INDEX(Material_Master!$Q$2:$Q$1000,MATCH(C244,Material_Master!$A$2:$A$1000,0))</f>
        <v>0</v>
      </c>
    </row>
    <row r="245" customFormat="false" ht="22.35" hidden="false" customHeight="false" outlineLevel="0" collapsed="false">
      <c r="A245" s="6" t="s">
        <v>1506</v>
      </c>
      <c r="B245" s="8" t="str">
        <f aca="false">INDEX(Work_Items!$D$2:$D$300,MATCH(A245,Work_Items!$A$2:$A$300,0))</f>
        <v>Wash basin/vanity complete</v>
      </c>
      <c r="C245" s="6" t="s">
        <v>1338</v>
      </c>
      <c r="D245" s="8" t="str">
        <f aca="false">INDEX(Material_Master!$D$2:$D$1000,MATCH(C245,Material_Master!$A$2:$A$1000,0))</f>
        <v>PPR fittings PN25 (elbows, tees, sockets, reducers)</v>
      </c>
      <c r="E245" s="6" t="s">
        <v>3091</v>
      </c>
      <c r="F245" s="6"/>
      <c r="G245" s="6"/>
      <c r="H245" s="9" t="n">
        <f aca="false">Coefficients!$D$176</f>
        <v>8</v>
      </c>
      <c r="I245" s="6" t="s">
        <v>115</v>
      </c>
      <c r="J245" s="6"/>
      <c r="K245" s="8" t="str">
        <f aca="false">INDEX(Material_Master!$F$2:$F$1000,MATCH(C245,Material_Master!$A$2:$A$1000,0))</f>
        <v>Nos</v>
      </c>
      <c r="L245" s="10" t="n">
        <f aca="false">INDEX(Material_Master!$Q$2:$Q$1000,MATCH(C245,Material_Master!$A$2:$A$1000,0))</f>
        <v>0.05</v>
      </c>
    </row>
    <row r="246" customFormat="false" ht="22.35" hidden="false" customHeight="false" outlineLevel="0" collapsed="false">
      <c r="A246" s="6" t="s">
        <v>1704</v>
      </c>
      <c r="B246" s="8" t="str">
        <f aca="false">INDEX(Work_Items!$D$2:$D$300,MATCH(A246,Work_Items!$A$2:$A$300,0))</f>
        <v>Shower complete (concealed mixer)</v>
      </c>
      <c r="C246" s="6" t="s">
        <v>1697</v>
      </c>
      <c r="D246" s="8" t="str">
        <f aca="false">INDEX(Material_Master!$D$2:$D$1000,MATCH(C246,Material_Master!$A$2:$A$1000,0))</f>
        <v>Concealed shower set (diverter/mixer body + trim, overhead shower, arm)</v>
      </c>
      <c r="E246" s="6" t="s">
        <v>2914</v>
      </c>
      <c r="F246" s="6"/>
      <c r="G246" s="6"/>
      <c r="H246" s="9" t="n">
        <f aca="false">Coefficients!$D$2</f>
        <v>1</v>
      </c>
      <c r="I246" s="6" t="s">
        <v>932</v>
      </c>
      <c r="J246" s="6"/>
      <c r="K246" s="8" t="str">
        <f aca="false">INDEX(Material_Master!$F$2:$F$1000,MATCH(C246,Material_Master!$A$2:$A$1000,0))</f>
        <v>set</v>
      </c>
      <c r="L246" s="10" t="n">
        <f aca="false">INDEX(Material_Master!$Q$2:$Q$1000,MATCH(C246,Material_Master!$A$2:$A$1000,0))</f>
        <v>0</v>
      </c>
    </row>
    <row r="247" customFormat="false" ht="22.35" hidden="false" customHeight="false" outlineLevel="0" collapsed="false">
      <c r="A247" s="6" t="s">
        <v>1704</v>
      </c>
      <c r="B247" s="8" t="str">
        <f aca="false">INDEX(Work_Items!$D$2:$D$300,MATCH(A247,Work_Items!$A$2:$A$300,0))</f>
        <v>Shower complete (concealed mixer)</v>
      </c>
      <c r="C247" s="6" t="s">
        <v>1293</v>
      </c>
      <c r="D247" s="8" t="str">
        <f aca="false">INDEX(Material_Master!$D$2:$D$1000,MATCH(C247,Material_Master!$A$2:$A$1000,0))</f>
        <v>PPR pipe PN20, 20 mm OD (cold water branches)</v>
      </c>
      <c r="E247" s="6" t="s">
        <v>3092</v>
      </c>
      <c r="F247" s="6"/>
      <c r="G247" s="6"/>
      <c r="H247" s="9" t="n">
        <f aca="false">Coefficients!$D$177</f>
        <v>10</v>
      </c>
      <c r="I247" s="6" t="s">
        <v>77</v>
      </c>
      <c r="J247" s="6"/>
      <c r="K247" s="8" t="str">
        <f aca="false">INDEX(Material_Master!$F$2:$F$1000,MATCH(C247,Material_Master!$A$2:$A$1000,0))</f>
        <v>rft</v>
      </c>
      <c r="L247" s="10" t="n">
        <f aca="false">INDEX(Material_Master!$Q$2:$Q$1000,MATCH(C247,Material_Master!$A$2:$A$1000,0))</f>
        <v>0.07</v>
      </c>
    </row>
    <row r="248" customFormat="false" ht="22.35" hidden="false" customHeight="false" outlineLevel="0" collapsed="false">
      <c r="A248" s="6" t="s">
        <v>1704</v>
      </c>
      <c r="B248" s="8" t="str">
        <f aca="false">INDEX(Work_Items!$D$2:$D$300,MATCH(A248,Work_Items!$A$2:$A$300,0))</f>
        <v>Shower complete (concealed mixer)</v>
      </c>
      <c r="C248" s="6" t="s">
        <v>1330</v>
      </c>
      <c r="D248" s="8" t="str">
        <f aca="false">INDEX(Material_Master!$D$2:$D$1000,MATCH(C248,Material_Master!$A$2:$A$1000,0))</f>
        <v>PPR pipe for hot water (PN20/PN25 or fibre-composite) 20-25 mm</v>
      </c>
      <c r="E248" s="6" t="s">
        <v>3093</v>
      </c>
      <c r="F248" s="6"/>
      <c r="G248" s="6"/>
      <c r="H248" s="9" t="n">
        <f aca="false">Coefficients!$D$178</f>
        <v>10</v>
      </c>
      <c r="I248" s="6" t="s">
        <v>77</v>
      </c>
      <c r="J248" s="6"/>
      <c r="K248" s="8" t="str">
        <f aca="false">INDEX(Material_Master!$F$2:$F$1000,MATCH(C248,Material_Master!$A$2:$A$1000,0))</f>
        <v>rft</v>
      </c>
      <c r="L248" s="10" t="n">
        <f aca="false">INDEX(Material_Master!$Q$2:$Q$1000,MATCH(C248,Material_Master!$A$2:$A$1000,0))</f>
        <v>0.07</v>
      </c>
    </row>
    <row r="249" customFormat="false" ht="22.35" hidden="false" customHeight="false" outlineLevel="0" collapsed="false">
      <c r="A249" s="6" t="s">
        <v>1704</v>
      </c>
      <c r="B249" s="8" t="str">
        <f aca="false">INDEX(Work_Items!$D$2:$D$300,MATCH(A249,Work_Items!$A$2:$A$300,0))</f>
        <v>Shower complete (concealed mixer)</v>
      </c>
      <c r="C249" s="6" t="s">
        <v>1338</v>
      </c>
      <c r="D249" s="8" t="str">
        <f aca="false">INDEX(Material_Master!$D$2:$D$1000,MATCH(C249,Material_Master!$A$2:$A$1000,0))</f>
        <v>PPR fittings PN25 (elbows, tees, sockets, reducers)</v>
      </c>
      <c r="E249" s="6" t="s">
        <v>3094</v>
      </c>
      <c r="F249" s="6"/>
      <c r="G249" s="6"/>
      <c r="H249" s="9" t="n">
        <f aca="false">Coefficients!$D$179</f>
        <v>8</v>
      </c>
      <c r="I249" s="6" t="s">
        <v>115</v>
      </c>
      <c r="J249" s="6"/>
      <c r="K249" s="8" t="str">
        <f aca="false">INDEX(Material_Master!$F$2:$F$1000,MATCH(C249,Material_Master!$A$2:$A$1000,0))</f>
        <v>Nos</v>
      </c>
      <c r="L249" s="10" t="n">
        <f aca="false">INDEX(Material_Master!$Q$2:$Q$1000,MATCH(C249,Material_Master!$A$2:$A$1000,0))</f>
        <v>0.05</v>
      </c>
    </row>
    <row r="250" customFormat="false" ht="22.35" hidden="false" customHeight="false" outlineLevel="0" collapsed="false">
      <c r="A250" s="6" t="s">
        <v>1713</v>
      </c>
      <c r="B250" s="8" t="str">
        <f aca="false">INDEX(Work_Items!$D$2:$D$300,MATCH(A250,Work_Items!$A$2:$A$300,0))</f>
        <v>Health faucet (Muslim shower)</v>
      </c>
      <c r="C250" s="6" t="s">
        <v>1707</v>
      </c>
      <c r="D250" s="8" t="str">
        <f aca="false">INDEX(Material_Master!$D$2:$D$1000,MATCH(C250,Material_Master!$A$2:$A$1000,0))</f>
        <v>Health faucet (Muslim shower) with angle valve &amp; hose</v>
      </c>
      <c r="E250" s="6" t="s">
        <v>2914</v>
      </c>
      <c r="F250" s="6"/>
      <c r="G250" s="6"/>
      <c r="H250" s="9" t="n">
        <f aca="false">Coefficients!$D$2</f>
        <v>1</v>
      </c>
      <c r="I250" s="6" t="s">
        <v>115</v>
      </c>
      <c r="J250" s="6"/>
      <c r="K250" s="8" t="str">
        <f aca="false">INDEX(Material_Master!$F$2:$F$1000,MATCH(C250,Material_Master!$A$2:$A$1000,0))</f>
        <v>Nos</v>
      </c>
      <c r="L250" s="10" t="n">
        <f aca="false">INDEX(Material_Master!$Q$2:$Q$1000,MATCH(C250,Material_Master!$A$2:$A$1000,0))</f>
        <v>0</v>
      </c>
    </row>
    <row r="251" customFormat="false" ht="22.35" hidden="false" customHeight="false" outlineLevel="0" collapsed="false">
      <c r="A251" s="6" t="s">
        <v>1713</v>
      </c>
      <c r="B251" s="8" t="str">
        <f aca="false">INDEX(Work_Items!$D$2:$D$300,MATCH(A251,Work_Items!$A$2:$A$300,0))</f>
        <v>Health faucet (Muslim shower)</v>
      </c>
      <c r="C251" s="6" t="s">
        <v>1293</v>
      </c>
      <c r="D251" s="8" t="str">
        <f aca="false">INDEX(Material_Master!$D$2:$D$1000,MATCH(C251,Material_Master!$A$2:$A$1000,0))</f>
        <v>PPR pipe PN20, 20 mm OD (cold water branches)</v>
      </c>
      <c r="E251" s="6" t="s">
        <v>3095</v>
      </c>
      <c r="F251" s="6"/>
      <c r="G251" s="6"/>
      <c r="H251" s="9" t="n">
        <f aca="false">Coefficients!$D$180</f>
        <v>6</v>
      </c>
      <c r="I251" s="6" t="s">
        <v>77</v>
      </c>
      <c r="J251" s="6"/>
      <c r="K251" s="8" t="str">
        <f aca="false">INDEX(Material_Master!$F$2:$F$1000,MATCH(C251,Material_Master!$A$2:$A$1000,0))</f>
        <v>rft</v>
      </c>
      <c r="L251" s="10" t="n">
        <f aca="false">INDEX(Material_Master!$Q$2:$Q$1000,MATCH(C251,Material_Master!$A$2:$A$1000,0))</f>
        <v>0.07</v>
      </c>
    </row>
    <row r="252" customFormat="false" ht="22.35" hidden="false" customHeight="false" outlineLevel="0" collapsed="false">
      <c r="A252" s="6" t="s">
        <v>1553</v>
      </c>
      <c r="B252" s="8" t="str">
        <f aca="false">INDEX(Work_Items!$D$2:$D$300,MATCH(A252,Work_Items!$A$2:$A$300,0))</f>
        <v>Floor trap with waste line</v>
      </c>
      <c r="C252" s="6" t="s">
        <v>1545</v>
      </c>
      <c r="D252" s="8" t="str">
        <f aca="false">INDEX(Material_Master!$D$2:$D$1000,MATCH(C252,Material_Master!$A$2:$A$1000,0))</f>
        <v>Floor trap (FT) with SS/brass grating, anti-cockroach</v>
      </c>
      <c r="E252" s="6" t="s">
        <v>2914</v>
      </c>
      <c r="F252" s="6"/>
      <c r="G252" s="6"/>
      <c r="H252" s="9" t="n">
        <f aca="false">Coefficients!$D$2</f>
        <v>1</v>
      </c>
      <c r="I252" s="6" t="s">
        <v>115</v>
      </c>
      <c r="J252" s="6"/>
      <c r="K252" s="8" t="str">
        <f aca="false">INDEX(Material_Master!$F$2:$F$1000,MATCH(C252,Material_Master!$A$2:$A$1000,0))</f>
        <v>Nos</v>
      </c>
      <c r="L252" s="10" t="n">
        <f aca="false">INDEX(Material_Master!$Q$2:$Q$1000,MATCH(C252,Material_Master!$A$2:$A$1000,0))</f>
        <v>0</v>
      </c>
    </row>
    <row r="253" customFormat="false" ht="15" hidden="false" customHeight="false" outlineLevel="0" collapsed="false">
      <c r="A253" s="6" t="s">
        <v>1553</v>
      </c>
      <c r="B253" s="8" t="str">
        <f aca="false">INDEX(Work_Items!$D$2:$D$300,MATCH(A253,Work_Items!$A$2:$A$300,0))</f>
        <v>Floor trap with waste line</v>
      </c>
      <c r="C253" s="6" t="s">
        <v>1492</v>
      </c>
      <c r="D253" s="8" t="str">
        <f aca="false">INDEX(Material_Master!$D$2:$D$1000,MATCH(C253,Material_Master!$A$2:$A$1000,0))</f>
        <v>uPVC waste pipe 3in (90 mm)</v>
      </c>
      <c r="E253" s="6" t="s">
        <v>3096</v>
      </c>
      <c r="F253" s="6"/>
      <c r="G253" s="6"/>
      <c r="H253" s="9" t="n">
        <f aca="false">Coefficients!$D$181</f>
        <v>8</v>
      </c>
      <c r="I253" s="6" t="s">
        <v>77</v>
      </c>
      <c r="J253" s="6"/>
      <c r="K253" s="8" t="str">
        <f aca="false">INDEX(Material_Master!$F$2:$F$1000,MATCH(C253,Material_Master!$A$2:$A$1000,0))</f>
        <v>rft</v>
      </c>
      <c r="L253" s="10" t="n">
        <f aca="false">INDEX(Material_Master!$Q$2:$Q$1000,MATCH(C253,Material_Master!$A$2:$A$1000,0))</f>
        <v>0.05</v>
      </c>
    </row>
    <row r="254" customFormat="false" ht="22.35" hidden="false" customHeight="false" outlineLevel="0" collapsed="false">
      <c r="A254" s="6" t="s">
        <v>1313</v>
      </c>
      <c r="B254" s="8" t="str">
        <f aca="false">INDEX(Work_Items!$D$2:$D$300,MATCH(A254,Work_Items!$A$2:$A$300,0))</f>
        <v>Bathroom group risers, vents, fittings (per bathroom)</v>
      </c>
      <c r="C254" s="6" t="s">
        <v>1308</v>
      </c>
      <c r="D254" s="8" t="str">
        <f aca="false">INDEX(Material_Master!$D$2:$D$1000,MATCH(C254,Material_Master!$A$2:$A$1000,0))</f>
        <v>PPR pipe PN20, 25 mm OD</v>
      </c>
      <c r="E254" s="6" t="s">
        <v>3097</v>
      </c>
      <c r="F254" s="6"/>
      <c r="G254" s="6"/>
      <c r="H254" s="9" t="n">
        <f aca="false">Coefficients!$D$186</f>
        <v>30</v>
      </c>
      <c r="I254" s="6" t="s">
        <v>77</v>
      </c>
      <c r="J254" s="6"/>
      <c r="K254" s="8" t="str">
        <f aca="false">INDEX(Material_Master!$F$2:$F$1000,MATCH(C254,Material_Master!$A$2:$A$1000,0))</f>
        <v>rft</v>
      </c>
      <c r="L254" s="10" t="n">
        <f aca="false">INDEX(Material_Master!$Q$2:$Q$1000,MATCH(C254,Material_Master!$A$2:$A$1000,0))</f>
        <v>0.07</v>
      </c>
    </row>
    <row r="255" customFormat="false" ht="22.35" hidden="false" customHeight="false" outlineLevel="0" collapsed="false">
      <c r="A255" s="6" t="s">
        <v>1313</v>
      </c>
      <c r="B255" s="8" t="str">
        <f aca="false">INDEX(Work_Items!$D$2:$D$300,MATCH(A255,Work_Items!$A$2:$A$300,0))</f>
        <v>Bathroom group risers, vents, fittings (per bathroom)</v>
      </c>
      <c r="C255" s="6" t="s">
        <v>1507</v>
      </c>
      <c r="D255" s="8" t="str">
        <f aca="false">INDEX(Material_Master!$D$2:$D$1000,MATCH(C255,Material_Master!$A$2:$A$1000,0))</f>
        <v>uPVC vent pipe 2-3in with mosquito screen cowl</v>
      </c>
      <c r="E255" s="6" t="s">
        <v>3098</v>
      </c>
      <c r="F255" s="6"/>
      <c r="G255" s="6"/>
      <c r="H255" s="9" t="n">
        <f aca="false">Coefficients!$D$187</f>
        <v>15</v>
      </c>
      <c r="I255" s="6" t="s">
        <v>77</v>
      </c>
      <c r="J255" s="6"/>
      <c r="K255" s="8" t="str">
        <f aca="false">INDEX(Material_Master!$F$2:$F$1000,MATCH(C255,Material_Master!$A$2:$A$1000,0))</f>
        <v>rft</v>
      </c>
      <c r="L255" s="10" t="n">
        <f aca="false">INDEX(Material_Master!$Q$2:$Q$1000,MATCH(C255,Material_Master!$A$2:$A$1000,0))</f>
        <v>0.05</v>
      </c>
    </row>
    <row r="256" customFormat="false" ht="22.35" hidden="false" customHeight="false" outlineLevel="0" collapsed="false">
      <c r="A256" s="6" t="s">
        <v>1313</v>
      </c>
      <c r="B256" s="8" t="str">
        <f aca="false">INDEX(Work_Items!$D$2:$D$300,MATCH(A256,Work_Items!$A$2:$A$300,0))</f>
        <v>Bathroom group risers, vents, fittings (per bathroom)</v>
      </c>
      <c r="C256" s="6" t="s">
        <v>1525</v>
      </c>
      <c r="D256" s="8" t="str">
        <f aca="false">INDEX(Material_Master!$D$2:$D$1000,MATCH(C256,Material_Master!$A$2:$A$1000,0))</f>
        <v>uPVC drainage fittings (bends, Y-junctions, tees, sockets, reducers, cleanout plugs)</v>
      </c>
      <c r="E256" s="6" t="s">
        <v>3099</v>
      </c>
      <c r="F256" s="6"/>
      <c r="G256" s="6"/>
      <c r="H256" s="9" t="n">
        <f aca="false">Coefficients!$D$188</f>
        <v>12</v>
      </c>
      <c r="I256" s="6" t="s">
        <v>115</v>
      </c>
      <c r="J256" s="6"/>
      <c r="K256" s="8" t="str">
        <f aca="false">INDEX(Material_Master!$F$2:$F$1000,MATCH(C256,Material_Master!$A$2:$A$1000,0))</f>
        <v>Nos</v>
      </c>
      <c r="L256" s="10" t="n">
        <f aca="false">INDEX(Material_Master!$Q$2:$Q$1000,MATCH(C256,Material_Master!$A$2:$A$1000,0))</f>
        <v>0.05</v>
      </c>
    </row>
    <row r="257" customFormat="false" ht="22.35" hidden="false" customHeight="false" outlineLevel="0" collapsed="false">
      <c r="A257" s="6" t="s">
        <v>1313</v>
      </c>
      <c r="B257" s="8" t="str">
        <f aca="false">INDEX(Work_Items!$D$2:$D$300,MATCH(A257,Work_Items!$A$2:$A$300,0))</f>
        <v>Bathroom group risers, vents, fittings (per bathroom)</v>
      </c>
      <c r="C257" s="6" t="s">
        <v>1531</v>
      </c>
      <c r="D257" s="8" t="str">
        <f aca="false">INDEX(Material_Master!$D$2:$D$1000,MATCH(C257,Material_Master!$A$2:$A$1000,0))</f>
        <v>uPVC solvent cement</v>
      </c>
      <c r="E257" s="6" t="s">
        <v>3100</v>
      </c>
      <c r="F257" s="6"/>
      <c r="G257" s="6"/>
      <c r="H257" s="9" t="n">
        <f aca="false">Coefficients!$D$189</f>
        <v>0.25</v>
      </c>
      <c r="I257" s="6" t="s">
        <v>176</v>
      </c>
      <c r="J257" s="6"/>
      <c r="K257" s="8" t="str">
        <f aca="false">INDEX(Material_Master!$F$2:$F$1000,MATCH(C257,Material_Master!$A$2:$A$1000,0))</f>
        <v>L</v>
      </c>
      <c r="L257" s="10" t="n">
        <f aca="false">INDEX(Material_Master!$Q$2:$Q$1000,MATCH(C257,Material_Master!$A$2:$A$1000,0))</f>
        <v>0.05</v>
      </c>
    </row>
    <row r="258" customFormat="false" ht="22.35" hidden="false" customHeight="false" outlineLevel="0" collapsed="false">
      <c r="A258" s="6" t="s">
        <v>1313</v>
      </c>
      <c r="B258" s="8" t="str">
        <f aca="false">INDEX(Work_Items!$D$2:$D$300,MATCH(A258,Work_Items!$A$2:$A$300,0))</f>
        <v>Bathroom group risers, vents, fittings (per bathroom)</v>
      </c>
      <c r="C258" s="6" t="s">
        <v>1355</v>
      </c>
      <c r="D258" s="8" t="str">
        <f aca="false">INDEX(Material_Master!$D$2:$D$1000,MATCH(C258,Material_Master!$A$2:$A$1000,0))</f>
        <v>PPR/brass ball &amp; gate valves (isolation)</v>
      </c>
      <c r="E258" s="6" t="s">
        <v>3101</v>
      </c>
      <c r="F258" s="6"/>
      <c r="G258" s="6"/>
      <c r="H258" s="9" t="n">
        <f aca="false">Coefficients!$D$190</f>
        <v>2</v>
      </c>
      <c r="I258" s="6" t="s">
        <v>115</v>
      </c>
      <c r="J258" s="6"/>
      <c r="K258" s="8" t="str">
        <f aca="false">INDEX(Material_Master!$F$2:$F$1000,MATCH(C258,Material_Master!$A$2:$A$1000,0))</f>
        <v>Nos</v>
      </c>
      <c r="L258" s="10" t="n">
        <f aca="false">INDEX(Material_Master!$Q$2:$Q$1000,MATCH(C258,Material_Master!$A$2:$A$1000,0))</f>
        <v>0</v>
      </c>
    </row>
    <row r="259" customFormat="false" ht="22.35" hidden="false" customHeight="false" outlineLevel="0" collapsed="false">
      <c r="A259" s="6" t="s">
        <v>1313</v>
      </c>
      <c r="B259" s="8" t="str">
        <f aca="false">INDEX(Work_Items!$D$2:$D$300,MATCH(A259,Work_Items!$A$2:$A$300,0))</f>
        <v>Bathroom group risers, vents, fittings (per bathroom)</v>
      </c>
      <c r="C259" s="6" t="s">
        <v>1432</v>
      </c>
      <c r="D259" s="8" t="str">
        <f aca="false">INDEX(Material_Master!$D$2:$D$1000,MATCH(C259,Material_Master!$A$2:$A$1000,0))</f>
        <v>Pipe clamps / saddles / hangers</v>
      </c>
      <c r="E259" s="6" t="s">
        <v>3102</v>
      </c>
      <c r="F259" s="6"/>
      <c r="G259" s="6"/>
      <c r="H259" s="9" t="n">
        <f aca="false">Coefficients!$D$191</f>
        <v>15</v>
      </c>
      <c r="I259" s="6" t="s">
        <v>115</v>
      </c>
      <c r="J259" s="6"/>
      <c r="K259" s="8" t="str">
        <f aca="false">INDEX(Material_Master!$F$2:$F$1000,MATCH(C259,Material_Master!$A$2:$A$1000,0))</f>
        <v>Nos</v>
      </c>
      <c r="L259" s="10" t="n">
        <f aca="false">INDEX(Material_Master!$Q$2:$Q$1000,MATCH(C259,Material_Master!$A$2:$A$1000,0))</f>
        <v>0.05</v>
      </c>
    </row>
    <row r="260" customFormat="false" ht="22.35" hidden="false" customHeight="false" outlineLevel="0" collapsed="false">
      <c r="A260" s="6" t="s">
        <v>1313</v>
      </c>
      <c r="B260" s="8" t="str">
        <f aca="false">INDEX(Work_Items!$D$2:$D$300,MATCH(A260,Work_Items!$A$2:$A$300,0))</f>
        <v>Bathroom group risers, vents, fittings (per bathroom)</v>
      </c>
      <c r="C260" s="6" t="s">
        <v>1726</v>
      </c>
      <c r="D260" s="8" t="str">
        <f aca="false">INDEX(Material_Master!$D$2:$D$1000,MATCH(C260,Material_Master!$A$2:$A$1000,0))</f>
        <v>Bath accessories set (towel rail, ring, paper holder, soap dish, robe hook, shelf)</v>
      </c>
      <c r="E260" s="6" t="s">
        <v>2914</v>
      </c>
      <c r="F260" s="6"/>
      <c r="G260" s="6"/>
      <c r="H260" s="9" t="n">
        <f aca="false">Coefficients!$D$2</f>
        <v>1</v>
      </c>
      <c r="I260" s="6" t="s">
        <v>932</v>
      </c>
      <c r="J260" s="6"/>
      <c r="K260" s="8" t="str">
        <f aca="false">INDEX(Material_Master!$F$2:$F$1000,MATCH(C260,Material_Master!$A$2:$A$1000,0))</f>
        <v>set</v>
      </c>
      <c r="L260" s="10" t="n">
        <f aca="false">INDEX(Material_Master!$Q$2:$Q$1000,MATCH(C260,Material_Master!$A$2:$A$1000,0))</f>
        <v>0</v>
      </c>
    </row>
    <row r="261" customFormat="false" ht="22.35" hidden="false" customHeight="false" outlineLevel="0" collapsed="false">
      <c r="A261" s="6" t="s">
        <v>1260</v>
      </c>
      <c r="B261" s="8" t="str">
        <f aca="false">INDEX(Work_Items!$D$2:$D$300,MATCH(A261,Work_Items!$A$2:$A$300,0))</f>
        <v>Kitchen sink point complete</v>
      </c>
      <c r="C261" s="6" t="s">
        <v>1255</v>
      </c>
      <c r="D261" s="8" t="str">
        <f aca="false">INDEX(Material_Master!$D$2:$D$1000,MATCH(C261,Material_Master!$A$2:$A$1000,0))</f>
        <v>Stainless steel sink (single/double bowl + drainboard)</v>
      </c>
      <c r="E261" s="6" t="s">
        <v>2914</v>
      </c>
      <c r="F261" s="6"/>
      <c r="G261" s="6"/>
      <c r="H261" s="9" t="n">
        <f aca="false">Coefficients!$D$2</f>
        <v>1</v>
      </c>
      <c r="I261" s="6" t="s">
        <v>115</v>
      </c>
      <c r="J261" s="6"/>
      <c r="K261" s="8" t="str">
        <f aca="false">INDEX(Material_Master!$F$2:$F$1000,MATCH(C261,Material_Master!$A$2:$A$1000,0))</f>
        <v>Nos</v>
      </c>
      <c r="L261" s="10" t="n">
        <f aca="false">INDEX(Material_Master!$Q$2:$Q$1000,MATCH(C261,Material_Master!$A$2:$A$1000,0))</f>
        <v>0</v>
      </c>
    </row>
    <row r="262" customFormat="false" ht="15" hidden="false" customHeight="false" outlineLevel="0" collapsed="false">
      <c r="A262" s="6" t="s">
        <v>1260</v>
      </c>
      <c r="B262" s="8" t="str">
        <f aca="false">INDEX(Work_Items!$D$2:$D$300,MATCH(A262,Work_Items!$A$2:$A$300,0))</f>
        <v>Kitchen sink point complete</v>
      </c>
      <c r="C262" s="6" t="s">
        <v>1262</v>
      </c>
      <c r="D262" s="8" t="str">
        <f aca="false">INDEX(Material_Master!$D$2:$D$1000,MATCH(C262,Material_Master!$A$2:$A$1000,0))</f>
        <v>Sink mixer (hot &amp; cold)</v>
      </c>
      <c r="E262" s="6" t="s">
        <v>2914</v>
      </c>
      <c r="F262" s="6"/>
      <c r="G262" s="6"/>
      <c r="H262" s="9" t="n">
        <f aca="false">Coefficients!$D$2</f>
        <v>1</v>
      </c>
      <c r="I262" s="6" t="s">
        <v>115</v>
      </c>
      <c r="J262" s="6"/>
      <c r="K262" s="8" t="str">
        <f aca="false">INDEX(Material_Master!$F$2:$F$1000,MATCH(C262,Material_Master!$A$2:$A$1000,0))</f>
        <v>Nos</v>
      </c>
      <c r="L262" s="10" t="n">
        <f aca="false">INDEX(Material_Master!$Q$2:$Q$1000,MATCH(C262,Material_Master!$A$2:$A$1000,0))</f>
        <v>0</v>
      </c>
    </row>
    <row r="263" customFormat="false" ht="22.35" hidden="false" customHeight="false" outlineLevel="0" collapsed="false">
      <c r="A263" s="6" t="s">
        <v>1260</v>
      </c>
      <c r="B263" s="8" t="str">
        <f aca="false">INDEX(Work_Items!$D$2:$D$300,MATCH(A263,Work_Items!$A$2:$A$300,0))</f>
        <v>Kitchen sink point complete</v>
      </c>
      <c r="C263" s="6" t="s">
        <v>1293</v>
      </c>
      <c r="D263" s="8" t="str">
        <f aca="false">INDEX(Material_Master!$D$2:$D$1000,MATCH(C263,Material_Master!$A$2:$A$1000,0))</f>
        <v>PPR pipe PN20, 20 mm OD (cold water branches)</v>
      </c>
      <c r="E263" s="6" t="s">
        <v>3103</v>
      </c>
      <c r="F263" s="6"/>
      <c r="G263" s="6"/>
      <c r="H263" s="9" t="n">
        <f aca="false">Coefficients!$D$182</f>
        <v>12</v>
      </c>
      <c r="I263" s="6" t="s">
        <v>77</v>
      </c>
      <c r="J263" s="6"/>
      <c r="K263" s="8" t="str">
        <f aca="false">INDEX(Material_Master!$F$2:$F$1000,MATCH(C263,Material_Master!$A$2:$A$1000,0))</f>
        <v>rft</v>
      </c>
      <c r="L263" s="10" t="n">
        <f aca="false">INDEX(Material_Master!$Q$2:$Q$1000,MATCH(C263,Material_Master!$A$2:$A$1000,0))</f>
        <v>0.07</v>
      </c>
    </row>
    <row r="264" customFormat="false" ht="22.35" hidden="false" customHeight="false" outlineLevel="0" collapsed="false">
      <c r="A264" s="6" t="s">
        <v>1260</v>
      </c>
      <c r="B264" s="8" t="str">
        <f aca="false">INDEX(Work_Items!$D$2:$D$300,MATCH(A264,Work_Items!$A$2:$A$300,0))</f>
        <v>Kitchen sink point complete</v>
      </c>
      <c r="C264" s="6" t="s">
        <v>1330</v>
      </c>
      <c r="D264" s="8" t="str">
        <f aca="false">INDEX(Material_Master!$D$2:$D$1000,MATCH(C264,Material_Master!$A$2:$A$1000,0))</f>
        <v>PPR pipe for hot water (PN20/PN25 or fibre-composite) 20-25 mm</v>
      </c>
      <c r="E264" s="6" t="s">
        <v>3104</v>
      </c>
      <c r="F264" s="6"/>
      <c r="G264" s="6"/>
      <c r="H264" s="9" t="n">
        <f aca="false">Coefficients!$D$183</f>
        <v>12</v>
      </c>
      <c r="I264" s="6" t="s">
        <v>77</v>
      </c>
      <c r="J264" s="6"/>
      <c r="K264" s="8" t="str">
        <f aca="false">INDEX(Material_Master!$F$2:$F$1000,MATCH(C264,Material_Master!$A$2:$A$1000,0))</f>
        <v>rft</v>
      </c>
      <c r="L264" s="10" t="n">
        <f aca="false">INDEX(Material_Master!$Q$2:$Q$1000,MATCH(C264,Material_Master!$A$2:$A$1000,0))</f>
        <v>0.07</v>
      </c>
    </row>
    <row r="265" customFormat="false" ht="15" hidden="false" customHeight="false" outlineLevel="0" collapsed="false">
      <c r="A265" s="6" t="s">
        <v>1260</v>
      </c>
      <c r="B265" s="8" t="str">
        <f aca="false">INDEX(Work_Items!$D$2:$D$300,MATCH(A265,Work_Items!$A$2:$A$300,0))</f>
        <v>Kitchen sink point complete</v>
      </c>
      <c r="C265" s="6" t="s">
        <v>1492</v>
      </c>
      <c r="D265" s="8" t="str">
        <f aca="false">INDEX(Material_Master!$D$2:$D$1000,MATCH(C265,Material_Master!$A$2:$A$1000,0))</f>
        <v>uPVC waste pipe 3in (90 mm)</v>
      </c>
      <c r="E265" s="6" t="s">
        <v>3105</v>
      </c>
      <c r="F265" s="6"/>
      <c r="G265" s="6"/>
      <c r="H265" s="9" t="n">
        <f aca="false">Coefficients!$D$184</f>
        <v>10</v>
      </c>
      <c r="I265" s="6" t="s">
        <v>77</v>
      </c>
      <c r="J265" s="6"/>
      <c r="K265" s="8" t="str">
        <f aca="false">INDEX(Material_Master!$F$2:$F$1000,MATCH(C265,Material_Master!$A$2:$A$1000,0))</f>
        <v>rft</v>
      </c>
      <c r="L265" s="10" t="n">
        <f aca="false">INDEX(Material_Master!$Q$2:$Q$1000,MATCH(C265,Material_Master!$A$2:$A$1000,0))</f>
        <v>0.05</v>
      </c>
    </row>
    <row r="266" customFormat="false" ht="22.35" hidden="false" customHeight="false" outlineLevel="0" collapsed="false">
      <c r="A266" s="6" t="s">
        <v>1260</v>
      </c>
      <c r="B266" s="8" t="str">
        <f aca="false">INDEX(Work_Items!$D$2:$D$300,MATCH(A266,Work_Items!$A$2:$A$300,0))</f>
        <v>Kitchen sink point complete</v>
      </c>
      <c r="C266" s="6" t="s">
        <v>1650</v>
      </c>
      <c r="D266" s="8" t="str">
        <f aca="false">INDEX(Material_Master!$D$2:$D$1000,MATCH(C266,Material_Master!$A$2:$A$1000,0))</f>
        <v>Kitchen sink waste set with grease trap / strainer</v>
      </c>
      <c r="E266" s="6" t="s">
        <v>2914</v>
      </c>
      <c r="F266" s="6"/>
      <c r="G266" s="6"/>
      <c r="H266" s="9" t="n">
        <f aca="false">Coefficients!$D$2</f>
        <v>1</v>
      </c>
      <c r="I266" s="6" t="s">
        <v>115</v>
      </c>
      <c r="J266" s="6"/>
      <c r="K266" s="8" t="str">
        <f aca="false">INDEX(Material_Master!$F$2:$F$1000,MATCH(C266,Material_Master!$A$2:$A$1000,0))</f>
        <v>Nos</v>
      </c>
      <c r="L266" s="10" t="n">
        <f aca="false">INDEX(Material_Master!$Q$2:$Q$1000,MATCH(C266,Material_Master!$A$2:$A$1000,0))</f>
        <v>0</v>
      </c>
    </row>
    <row r="267" customFormat="false" ht="15" hidden="false" customHeight="false" outlineLevel="0" collapsed="false">
      <c r="A267" s="6" t="s">
        <v>1757</v>
      </c>
      <c r="B267" s="8" t="str">
        <f aca="false">INDEX(Work_Items!$D$2:$D$300,MATCH(A267,Work_Items!$A$2:$A$300,0))</f>
        <v>Washing machine point</v>
      </c>
      <c r="C267" s="6" t="s">
        <v>1751</v>
      </c>
      <c r="D267" s="8" t="str">
        <f aca="false">INDEX(Material_Master!$D$2:$D$1000,MATCH(C267,Material_Master!$A$2:$A$1000,0))</f>
        <v>Washing machine tap + drain point</v>
      </c>
      <c r="E267" s="6" t="s">
        <v>2914</v>
      </c>
      <c r="F267" s="6"/>
      <c r="G267" s="6"/>
      <c r="H267" s="9" t="n">
        <f aca="false">Coefficients!$D$2</f>
        <v>1</v>
      </c>
      <c r="I267" s="6" t="s">
        <v>115</v>
      </c>
      <c r="J267" s="6"/>
      <c r="K267" s="8" t="str">
        <f aca="false">INDEX(Material_Master!$F$2:$F$1000,MATCH(C267,Material_Master!$A$2:$A$1000,0))</f>
        <v>Nos</v>
      </c>
      <c r="L267" s="10" t="n">
        <f aca="false">INDEX(Material_Master!$Q$2:$Q$1000,MATCH(C267,Material_Master!$A$2:$A$1000,0))</f>
        <v>0</v>
      </c>
    </row>
    <row r="268" customFormat="false" ht="22.35" hidden="false" customHeight="false" outlineLevel="0" collapsed="false">
      <c r="A268" s="6" t="s">
        <v>1757</v>
      </c>
      <c r="B268" s="8" t="str">
        <f aca="false">INDEX(Work_Items!$D$2:$D$300,MATCH(A268,Work_Items!$A$2:$A$300,0))</f>
        <v>Washing machine point</v>
      </c>
      <c r="C268" s="6" t="s">
        <v>1293</v>
      </c>
      <c r="D268" s="8" t="str">
        <f aca="false">INDEX(Material_Master!$D$2:$D$1000,MATCH(C268,Material_Master!$A$2:$A$1000,0))</f>
        <v>PPR pipe PN20, 20 mm OD (cold water branches)</v>
      </c>
      <c r="E268" s="6" t="s">
        <v>3106</v>
      </c>
      <c r="F268" s="6"/>
      <c r="G268" s="6"/>
      <c r="H268" s="9" t="n">
        <f aca="false">Coefficients!$D$185</f>
        <v>10</v>
      </c>
      <c r="I268" s="6" t="s">
        <v>77</v>
      </c>
      <c r="J268" s="6"/>
      <c r="K268" s="8" t="str">
        <f aca="false">INDEX(Material_Master!$F$2:$F$1000,MATCH(C268,Material_Master!$A$2:$A$1000,0))</f>
        <v>rft</v>
      </c>
      <c r="L268" s="10" t="n">
        <f aca="false">INDEX(Material_Master!$Q$2:$Q$1000,MATCH(C268,Material_Master!$A$2:$A$1000,0))</f>
        <v>0.07</v>
      </c>
    </row>
    <row r="269" customFormat="false" ht="15" hidden="false" customHeight="false" outlineLevel="0" collapsed="false">
      <c r="A269" s="6" t="s">
        <v>1522</v>
      </c>
      <c r="B269" s="8" t="str">
        <f aca="false">INDEX(Work_Items!$D$2:$D$300,MATCH(A269,Work_Items!$A$2:$A$300,0))</f>
        <v>Rainwater pipes 3-4in</v>
      </c>
      <c r="C269" s="6" t="s">
        <v>1514</v>
      </c>
      <c r="D269" s="8" t="str">
        <f aca="false">INDEX(Material_Master!$D$2:$D$1000,MATCH(C269,Material_Master!$A$2:$A$1000,0))</f>
        <v>uPVC rainwater pipe 3-4in</v>
      </c>
      <c r="E269" s="6" t="s">
        <v>2914</v>
      </c>
      <c r="F269" s="6"/>
      <c r="G269" s="6"/>
      <c r="H269" s="9" t="n">
        <f aca="false">Coefficients!$D$2</f>
        <v>1</v>
      </c>
      <c r="I269" s="6" t="s">
        <v>3025</v>
      </c>
      <c r="J269" s="6"/>
      <c r="K269" s="8" t="str">
        <f aca="false">INDEX(Material_Master!$F$2:$F$1000,MATCH(C269,Material_Master!$A$2:$A$1000,0))</f>
        <v>rft</v>
      </c>
      <c r="L269" s="10" t="n">
        <f aca="false">INDEX(Material_Master!$Q$2:$Q$1000,MATCH(C269,Material_Master!$A$2:$A$1000,0))</f>
        <v>0.05</v>
      </c>
    </row>
    <row r="270" customFormat="false" ht="15" hidden="false" customHeight="false" outlineLevel="0" collapsed="false">
      <c r="A270" s="6" t="s">
        <v>1522</v>
      </c>
      <c r="B270" s="8" t="str">
        <f aca="false">INDEX(Work_Items!$D$2:$D$300,MATCH(A270,Work_Items!$A$2:$A$300,0))</f>
        <v>Rainwater pipes 3-4in</v>
      </c>
      <c r="C270" s="6" t="s">
        <v>1645</v>
      </c>
      <c r="D270" s="8" t="str">
        <f aca="false">INDEX(Material_Master!$D$2:$D$1000,MATCH(C270,Material_Master!$A$2:$A$1000,0))</f>
        <v>Pipe clamps / hangers (MS galvanised)</v>
      </c>
      <c r="E270" s="6" t="s">
        <v>3107</v>
      </c>
      <c r="F270" s="6"/>
      <c r="G270" s="6"/>
      <c r="H270" s="9" t="n">
        <f aca="false">Coefficients!$D$193</f>
        <v>0.33</v>
      </c>
      <c r="I270" s="6" t="s">
        <v>3031</v>
      </c>
      <c r="J270" s="6"/>
      <c r="K270" s="8" t="str">
        <f aca="false">INDEX(Material_Master!$F$2:$F$1000,MATCH(C270,Material_Master!$A$2:$A$1000,0))</f>
        <v>Nos</v>
      </c>
      <c r="L270" s="10" t="n">
        <f aca="false">INDEX(Material_Master!$Q$2:$Q$1000,MATCH(C270,Material_Master!$A$2:$A$1000,0))</f>
        <v>0</v>
      </c>
    </row>
    <row r="271" customFormat="false" ht="15" hidden="false" customHeight="false" outlineLevel="0" collapsed="false">
      <c r="A271" s="6" t="s">
        <v>1613</v>
      </c>
      <c r="B271" s="8" t="str">
        <f aca="false">INDEX(Work_Items!$D$2:$D$300,MATCH(A271,Work_Items!$A$2:$A$300,0))</f>
        <v>Roof outlet khura with grating</v>
      </c>
      <c r="C271" s="6" t="s">
        <v>1605</v>
      </c>
      <c r="D271" s="8" t="str">
        <f aca="false">INDEX(Material_Master!$D$2:$D$1000,MATCH(C271,Material_Master!$A$2:$A$1000,0))</f>
        <v>Khura (roof outlet) 2'x2' with CI/SS grating</v>
      </c>
      <c r="E271" s="6" t="s">
        <v>2914</v>
      </c>
      <c r="F271" s="6"/>
      <c r="G271" s="6"/>
      <c r="H271" s="9" t="n">
        <f aca="false">Coefficients!$D$2</f>
        <v>1</v>
      </c>
      <c r="I271" s="6" t="s">
        <v>115</v>
      </c>
      <c r="J271" s="6"/>
      <c r="K271" s="8" t="str">
        <f aca="false">INDEX(Material_Master!$F$2:$F$1000,MATCH(C271,Material_Master!$A$2:$A$1000,0))</f>
        <v>Nos</v>
      </c>
      <c r="L271" s="10" t="n">
        <f aca="false">INDEX(Material_Master!$Q$2:$Q$1000,MATCH(C271,Material_Master!$A$2:$A$1000,0))</f>
        <v>0</v>
      </c>
    </row>
    <row r="272" customFormat="false" ht="22.35" hidden="false" customHeight="false" outlineLevel="0" collapsed="false">
      <c r="A272" s="6" t="s">
        <v>1577</v>
      </c>
      <c r="B272" s="8" t="str">
        <f aca="false">INDEX(Work_Items!$D$2:$D$300,MATCH(A272,Work_Items!$A$2:$A$300,0))</f>
        <v>External sewer line with sand bedding</v>
      </c>
      <c r="C272" s="6" t="s">
        <v>1569</v>
      </c>
      <c r="D272" s="8" t="str">
        <f aca="false">INDEX(Material_Master!$D$2:$D$1000,MATCH(C272,Material_Master!$A$2:$A$1000,0))</f>
        <v>External sewer pipe 6in (160 mm) uPVC flow-line or RCC (Shalimar)</v>
      </c>
      <c r="E272" s="6" t="s">
        <v>2914</v>
      </c>
      <c r="F272" s="6"/>
      <c r="G272" s="6"/>
      <c r="H272" s="9" t="n">
        <f aca="false">Coefficients!$D$2</f>
        <v>1</v>
      </c>
      <c r="I272" s="6" t="s">
        <v>3025</v>
      </c>
      <c r="J272" s="6"/>
      <c r="K272" s="8" t="str">
        <f aca="false">INDEX(Material_Master!$F$2:$F$1000,MATCH(C272,Material_Master!$A$2:$A$1000,0))</f>
        <v>rft</v>
      </c>
      <c r="L272" s="10" t="n">
        <f aca="false">INDEX(Material_Master!$Q$2:$Q$1000,MATCH(C272,Material_Master!$A$2:$A$1000,0))</f>
        <v>0.05</v>
      </c>
    </row>
    <row r="273" customFormat="false" ht="15" hidden="false" customHeight="false" outlineLevel="0" collapsed="false">
      <c r="A273" s="6" t="s">
        <v>1577</v>
      </c>
      <c r="B273" s="8" t="str">
        <f aca="false">INDEX(Work_Items!$D$2:$D$300,MATCH(A273,Work_Items!$A$2:$A$300,0))</f>
        <v>External sewer line with sand bedding</v>
      </c>
      <c r="C273" s="6" t="s">
        <v>1639</v>
      </c>
      <c r="D273" s="8" t="str">
        <f aca="false">INDEX(Material_Master!$D$2:$D$1000,MATCH(C273,Material_Master!$A$2:$A$1000,0))</f>
        <v>Sand bedding for sewer trench (3in)</v>
      </c>
      <c r="E273" s="6" t="s">
        <v>3108</v>
      </c>
      <c r="F273" s="6"/>
      <c r="G273" s="6"/>
      <c r="H273" s="9" t="n">
        <f aca="false">Coefficients!$D$192</f>
        <v>0.5</v>
      </c>
      <c r="I273" s="6" t="s">
        <v>3029</v>
      </c>
      <c r="J273" s="6"/>
      <c r="K273" s="8" t="str">
        <f aca="false">INDEX(Material_Master!$F$2:$F$1000,MATCH(C273,Material_Master!$A$2:$A$1000,0))</f>
        <v>cft</v>
      </c>
      <c r="L273" s="10" t="n">
        <f aca="false">INDEX(Material_Master!$Q$2:$Q$1000,MATCH(C273,Material_Master!$A$2:$A$1000,0))</f>
        <v>0.1</v>
      </c>
    </row>
    <row r="274" customFormat="false" ht="22.35" hidden="false" customHeight="false" outlineLevel="0" collapsed="false">
      <c r="A274" s="6" t="s">
        <v>1596</v>
      </c>
      <c r="B274" s="8" t="str">
        <f aca="false">INDEX(Work_Items!$D$2:$D$300,MATCH(A274,Work_Items!$A$2:$A$300,0))</f>
        <v>Manhole up to 3ft depth complete</v>
      </c>
      <c r="C274" s="6" t="s">
        <v>492</v>
      </c>
      <c r="D274" s="8" t="str">
        <f aca="false">INDEX(Material_Master!$D$2:$D$1000,MATCH(C274,Material_Master!$A$2:$A$1000,0))</f>
        <v>Burnt clay brick Class A ('Awwal') 9x4.5x3in nominal</v>
      </c>
      <c r="E274" s="6" t="s">
        <v>3109</v>
      </c>
      <c r="F274" s="6"/>
      <c r="G274" s="6"/>
      <c r="H274" s="9" t="n">
        <f aca="false">Coefficients!$D$206</f>
        <v>324.283095149945</v>
      </c>
      <c r="I274" s="6" t="s">
        <v>3110</v>
      </c>
      <c r="J274" s="6"/>
      <c r="K274" s="8" t="str">
        <f aca="false">INDEX(Material_Master!$F$2:$F$1000,MATCH(C274,Material_Master!$A$2:$A$1000,0))</f>
        <v>Nos</v>
      </c>
      <c r="L274" s="10" t="n">
        <f aca="false">INDEX(Material_Master!$Q$2:$Q$1000,MATCH(C274,Material_Master!$A$2:$A$1000,0))</f>
        <v>0.05</v>
      </c>
    </row>
    <row r="275" customFormat="false" ht="15" hidden="false" customHeight="false" outlineLevel="0" collapsed="false">
      <c r="A275" s="6" t="s">
        <v>1596</v>
      </c>
      <c r="B275" s="8" t="str">
        <f aca="false">INDEX(Work_Items!$D$2:$D$300,MATCH(A275,Work_Items!$A$2:$A$300,0))</f>
        <v>Manhole up to 3ft depth complete</v>
      </c>
      <c r="C275" s="6" t="s">
        <v>211</v>
      </c>
      <c r="D275" s="8" t="str">
        <f aca="false">INDEX(Material_Master!$D$2:$D$1000,MATCH(C275,Material_Master!$A$2:$A$1000,0))</f>
        <v>Ordinary Portland Cement (OPC) - 50 kg bag</v>
      </c>
      <c r="E275" s="6" t="s">
        <v>3111</v>
      </c>
      <c r="F275" s="6"/>
      <c r="G275" s="6"/>
      <c r="H275" s="9" t="n">
        <f aca="false">Coefficients!$D$207</f>
        <v>3.28886191485561</v>
      </c>
      <c r="I275" s="6" t="s">
        <v>3112</v>
      </c>
      <c r="J275" s="6"/>
      <c r="K275" s="8" t="str">
        <f aca="false">INDEX(Material_Master!$F$2:$F$1000,MATCH(C275,Material_Master!$A$2:$A$1000,0))</f>
        <v>bag</v>
      </c>
      <c r="L275" s="10" t="n">
        <f aca="false">INDEX(Material_Master!$Q$2:$Q$1000,MATCH(C275,Material_Master!$A$2:$A$1000,0))</f>
        <v>0.02</v>
      </c>
    </row>
    <row r="276" customFormat="false" ht="15" hidden="false" customHeight="false" outlineLevel="0" collapsed="false">
      <c r="A276" s="6" t="s">
        <v>1596</v>
      </c>
      <c r="B276" s="8" t="str">
        <f aca="false">INDEX(Work_Items!$D$2:$D$300,MATCH(A276,Work_Items!$A$2:$A$300,0))</f>
        <v>Manhole up to 3ft depth complete</v>
      </c>
      <c r="C276" s="6" t="s">
        <v>258</v>
      </c>
      <c r="D276" s="8" t="str">
        <f aca="false">INDEX(Material_Master!$D$2:$D$1000,MATCH(C276,Material_Master!$A$2:$A$1000,0))</f>
        <v>Sand for masonry &amp; plaster</v>
      </c>
      <c r="E276" s="6" t="s">
        <v>3113</v>
      </c>
      <c r="F276" s="6"/>
      <c r="G276" s="6"/>
      <c r="H276" s="9" t="n">
        <f aca="false">Coefficients!$D$208</f>
        <v>13.8870738700766</v>
      </c>
      <c r="I276" s="6" t="s">
        <v>3114</v>
      </c>
      <c r="J276" s="6"/>
      <c r="K276" s="8" t="str">
        <f aca="false">INDEX(Material_Master!$F$2:$F$1000,MATCH(C276,Material_Master!$A$2:$A$1000,0))</f>
        <v>cft</v>
      </c>
      <c r="L276" s="10" t="n">
        <f aca="false">INDEX(Material_Master!$Q$2:$Q$1000,MATCH(C276,Material_Master!$A$2:$A$1000,0))</f>
        <v>0.1</v>
      </c>
    </row>
    <row r="277" customFormat="false" ht="15" hidden="false" customHeight="false" outlineLevel="0" collapsed="false">
      <c r="A277" s="6" t="s">
        <v>1596</v>
      </c>
      <c r="B277" s="8" t="str">
        <f aca="false">INDEX(Work_Items!$D$2:$D$300,MATCH(A277,Work_Items!$A$2:$A$300,0))</f>
        <v>Manhole up to 3ft depth complete</v>
      </c>
      <c r="C277" s="6" t="s">
        <v>287</v>
      </c>
      <c r="D277" s="8" t="str">
        <f aca="false">INDEX(Material_Master!$D$2:$D$1000,MATCH(C277,Material_Master!$A$2:$A$1000,0))</f>
        <v>Crushed stone 1.5in down (or brick ballast)</v>
      </c>
      <c r="E277" s="6" t="s">
        <v>3115</v>
      </c>
      <c r="F277" s="6"/>
      <c r="G277" s="6"/>
      <c r="H277" s="9" t="n">
        <f aca="false">Coefficients!$D$209</f>
        <v>13.1527846153846</v>
      </c>
      <c r="I277" s="6" t="s">
        <v>3114</v>
      </c>
      <c r="J277" s="6"/>
      <c r="K277" s="8" t="str">
        <f aca="false">INDEX(Material_Master!$F$2:$F$1000,MATCH(C277,Material_Master!$A$2:$A$1000,0))</f>
        <v>cft</v>
      </c>
      <c r="L277" s="10" t="n">
        <f aca="false">INDEX(Material_Master!$Q$2:$Q$1000,MATCH(C277,Material_Master!$A$2:$A$1000,0))</f>
        <v>0.075</v>
      </c>
    </row>
    <row r="278" customFormat="false" ht="15" hidden="false" customHeight="false" outlineLevel="0" collapsed="false">
      <c r="A278" s="6" t="s">
        <v>1596</v>
      </c>
      <c r="B278" s="8" t="str">
        <f aca="false">INDEX(Work_Items!$D$2:$D$300,MATCH(A278,Work_Items!$A$2:$A$300,0))</f>
        <v>Manhole up to 3ft depth complete</v>
      </c>
      <c r="C278" s="6" t="s">
        <v>367</v>
      </c>
      <c r="D278" s="8" t="str">
        <f aca="false">INDEX(Material_Master!$D$2:$D$1000,MATCH(C278,Material_Master!$A$2:$A$1000,0))</f>
        <v>Deformed bar #4 (12 mm / 1/2in)</v>
      </c>
      <c r="E278" s="6" t="s">
        <v>3116</v>
      </c>
      <c r="F278" s="6"/>
      <c r="G278" s="6"/>
      <c r="H278" s="9" t="n">
        <f aca="false">Coefficients!$D$210</f>
        <v>14.5950199208828</v>
      </c>
      <c r="I278" s="6" t="s">
        <v>3117</v>
      </c>
      <c r="J278" s="6"/>
      <c r="K278" s="8" t="str">
        <f aca="false">INDEX(Material_Master!$F$2:$F$1000,MATCH(C278,Material_Master!$A$2:$A$1000,0))</f>
        <v>kg</v>
      </c>
      <c r="L278" s="10" t="n">
        <f aca="false">INDEX(Material_Master!$Q$2:$Q$1000,MATCH(C278,Material_Master!$A$2:$A$1000,0))</f>
        <v>0.03</v>
      </c>
    </row>
    <row r="279" customFormat="false" ht="22.35" hidden="false" customHeight="false" outlineLevel="0" collapsed="false">
      <c r="A279" s="6" t="s">
        <v>1596</v>
      </c>
      <c r="B279" s="8" t="str">
        <f aca="false">INDEX(Work_Items!$D$2:$D$300,MATCH(A279,Work_Items!$A$2:$A$300,0))</f>
        <v>Manhole up to 3ft depth complete</v>
      </c>
      <c r="C279" s="6" t="s">
        <v>1590</v>
      </c>
      <c r="D279" s="8" t="str">
        <f aca="false">INDEX(Material_Master!$D$2:$D$1000,MATCH(C279,Material_Master!$A$2:$A$1000,0))</f>
        <v>Manhole cover with CI/MS angle frame (18in/22in dia or RCC)</v>
      </c>
      <c r="E279" s="6" t="s">
        <v>2914</v>
      </c>
      <c r="F279" s="6"/>
      <c r="G279" s="6"/>
      <c r="H279" s="9" t="n">
        <f aca="false">Coefficients!$D$2</f>
        <v>1</v>
      </c>
      <c r="I279" s="6" t="s">
        <v>3110</v>
      </c>
      <c r="J279" s="6"/>
      <c r="K279" s="8" t="str">
        <f aca="false">INDEX(Material_Master!$F$2:$F$1000,MATCH(C279,Material_Master!$A$2:$A$1000,0))</f>
        <v>Nos</v>
      </c>
      <c r="L279" s="10" t="n">
        <f aca="false">INDEX(Material_Master!$Q$2:$Q$1000,MATCH(C279,Material_Master!$A$2:$A$1000,0))</f>
        <v>0</v>
      </c>
    </row>
    <row r="280" customFormat="false" ht="22.35" hidden="false" customHeight="false" outlineLevel="0" collapsed="false">
      <c r="A280" s="6" t="s">
        <v>1604</v>
      </c>
      <c r="B280" s="8" t="str">
        <f aca="false">INDEX(Work_Items!$D$2:$D$300,MATCH(A280,Work_Items!$A$2:$A$300,0))</f>
        <v>Gully trap complete</v>
      </c>
      <c r="C280" s="6" t="s">
        <v>492</v>
      </c>
      <c r="D280" s="8" t="str">
        <f aca="false">INDEX(Material_Master!$D$2:$D$1000,MATCH(C280,Material_Master!$A$2:$A$1000,0))</f>
        <v>Burnt clay brick Class A ('Awwal') 9x4.5x3in nominal</v>
      </c>
      <c r="E280" s="6" t="s">
        <v>3118</v>
      </c>
      <c r="F280" s="6"/>
      <c r="G280" s="6"/>
      <c r="H280" s="9" t="n">
        <f aca="false">Coefficients!$D$211</f>
        <v>120</v>
      </c>
      <c r="I280" s="6" t="s">
        <v>3119</v>
      </c>
      <c r="J280" s="6"/>
      <c r="K280" s="8" t="str">
        <f aca="false">INDEX(Material_Master!$F$2:$F$1000,MATCH(C280,Material_Master!$A$2:$A$1000,0))</f>
        <v>Nos</v>
      </c>
      <c r="L280" s="10" t="n">
        <f aca="false">INDEX(Material_Master!$Q$2:$Q$1000,MATCH(C280,Material_Master!$A$2:$A$1000,0))</f>
        <v>0.05</v>
      </c>
    </row>
    <row r="281" customFormat="false" ht="15" hidden="false" customHeight="false" outlineLevel="0" collapsed="false">
      <c r="A281" s="6" t="s">
        <v>1604</v>
      </c>
      <c r="B281" s="8" t="str">
        <f aca="false">INDEX(Work_Items!$D$2:$D$300,MATCH(A281,Work_Items!$A$2:$A$300,0))</f>
        <v>Gully trap complete</v>
      </c>
      <c r="C281" s="6" t="s">
        <v>211</v>
      </c>
      <c r="D281" s="8" t="str">
        <f aca="false">INDEX(Material_Master!$D$2:$D$1000,MATCH(C281,Material_Master!$A$2:$A$1000,0))</f>
        <v>Ordinary Portland Cement (OPC) - 50 kg bag</v>
      </c>
      <c r="E281" s="6" t="s">
        <v>3120</v>
      </c>
      <c r="F281" s="6"/>
      <c r="G281" s="6"/>
      <c r="H281" s="9" t="n">
        <f aca="false">Coefficients!$D$212</f>
        <v>1.5</v>
      </c>
      <c r="I281" s="6" t="s">
        <v>3121</v>
      </c>
      <c r="J281" s="6"/>
      <c r="K281" s="8" t="str">
        <f aca="false">INDEX(Material_Master!$F$2:$F$1000,MATCH(C281,Material_Master!$A$2:$A$1000,0))</f>
        <v>bag</v>
      </c>
      <c r="L281" s="10" t="n">
        <f aca="false">INDEX(Material_Master!$Q$2:$Q$1000,MATCH(C281,Material_Master!$A$2:$A$1000,0))</f>
        <v>0.02</v>
      </c>
    </row>
    <row r="282" customFormat="false" ht="15" hidden="false" customHeight="false" outlineLevel="0" collapsed="false">
      <c r="A282" s="6" t="s">
        <v>1604</v>
      </c>
      <c r="B282" s="8" t="str">
        <f aca="false">INDEX(Work_Items!$D$2:$D$300,MATCH(A282,Work_Items!$A$2:$A$300,0))</f>
        <v>Gully trap complete</v>
      </c>
      <c r="C282" s="6" t="s">
        <v>258</v>
      </c>
      <c r="D282" s="8" t="str">
        <f aca="false">INDEX(Material_Master!$D$2:$D$1000,MATCH(C282,Material_Master!$A$2:$A$1000,0))</f>
        <v>Sand for masonry &amp; plaster</v>
      </c>
      <c r="E282" s="6" t="s">
        <v>3122</v>
      </c>
      <c r="F282" s="6"/>
      <c r="G282" s="6"/>
      <c r="H282" s="9" t="n">
        <f aca="false">Coefficients!$D$213</f>
        <v>5</v>
      </c>
      <c r="I282" s="6" t="s">
        <v>3123</v>
      </c>
      <c r="J282" s="6"/>
      <c r="K282" s="8" t="str">
        <f aca="false">INDEX(Material_Master!$F$2:$F$1000,MATCH(C282,Material_Master!$A$2:$A$1000,0))</f>
        <v>cft</v>
      </c>
      <c r="L282" s="10" t="n">
        <f aca="false">INDEX(Material_Master!$Q$2:$Q$1000,MATCH(C282,Material_Master!$A$2:$A$1000,0))</f>
        <v>0.1</v>
      </c>
    </row>
    <row r="283" customFormat="false" ht="15" hidden="false" customHeight="false" outlineLevel="0" collapsed="false">
      <c r="A283" s="6" t="s">
        <v>1604</v>
      </c>
      <c r="B283" s="8" t="str">
        <f aca="false">INDEX(Work_Items!$D$2:$D$300,MATCH(A283,Work_Items!$A$2:$A$300,0))</f>
        <v>Gully trap complete</v>
      </c>
      <c r="C283" s="6" t="s">
        <v>287</v>
      </c>
      <c r="D283" s="8" t="str">
        <f aca="false">INDEX(Material_Master!$D$2:$D$1000,MATCH(C283,Material_Master!$A$2:$A$1000,0))</f>
        <v>Crushed stone 1.5in down (or brick ballast)</v>
      </c>
      <c r="E283" s="6" t="s">
        <v>3124</v>
      </c>
      <c r="F283" s="6"/>
      <c r="G283" s="6"/>
      <c r="H283" s="9" t="n">
        <f aca="false">Coefficients!$D$214</f>
        <v>2</v>
      </c>
      <c r="I283" s="6" t="s">
        <v>3123</v>
      </c>
      <c r="J283" s="6"/>
      <c r="K283" s="8" t="str">
        <f aca="false">INDEX(Material_Master!$F$2:$F$1000,MATCH(C283,Material_Master!$A$2:$A$1000,0))</f>
        <v>cft</v>
      </c>
      <c r="L283" s="10" t="n">
        <f aca="false">INDEX(Material_Master!$Q$2:$Q$1000,MATCH(C283,Material_Master!$A$2:$A$1000,0))</f>
        <v>0.075</v>
      </c>
    </row>
    <row r="284" customFormat="false" ht="22.35" hidden="false" customHeight="false" outlineLevel="0" collapsed="false">
      <c r="A284" s="6" t="s">
        <v>1604</v>
      </c>
      <c r="B284" s="8" t="str">
        <f aca="false">INDEX(Work_Items!$D$2:$D$300,MATCH(A284,Work_Items!$A$2:$A$300,0))</f>
        <v>Gully trap complete</v>
      </c>
      <c r="C284" s="6" t="s">
        <v>1598</v>
      </c>
      <c r="D284" s="8" t="str">
        <f aca="false">INDEX(Material_Master!$D$2:$D$1000,MATCH(C284,Material_Master!$A$2:$A$1000,0))</f>
        <v>Gully trap (CI/uPVC) with grating + brick chamber</v>
      </c>
      <c r="E284" s="6" t="s">
        <v>2914</v>
      </c>
      <c r="F284" s="6"/>
      <c r="G284" s="6"/>
      <c r="H284" s="9" t="n">
        <f aca="false">Coefficients!$D$2</f>
        <v>1</v>
      </c>
      <c r="I284" s="6" t="s">
        <v>3119</v>
      </c>
      <c r="J284" s="6"/>
      <c r="K284" s="8" t="str">
        <f aca="false">INDEX(Material_Master!$F$2:$F$1000,MATCH(C284,Material_Master!$A$2:$A$1000,0))</f>
        <v>Nos</v>
      </c>
      <c r="L284" s="10" t="n">
        <f aca="false">INDEX(Material_Master!$Q$2:$Q$1000,MATCH(C284,Material_Master!$A$2:$A$1000,0))</f>
        <v>0</v>
      </c>
    </row>
    <row r="285" customFormat="false" ht="15" hidden="false" customHeight="false" outlineLevel="0" collapsed="false">
      <c r="A285" s="6" t="s">
        <v>1804</v>
      </c>
      <c r="B285" s="8" t="str">
        <f aca="false">INDEX(Work_Items!$D$2:$D$300,MATCH(A285,Work_Items!$A$2:$A$300,0))</f>
        <v>Gas point (GI pipe, valve, fittings)</v>
      </c>
      <c r="C285" s="6" t="s">
        <v>1795</v>
      </c>
      <c r="D285" s="8" t="str">
        <f aca="false">INDEX(Material_Master!$D$2:$D$1000,MATCH(C285,Material_Master!$A$2:$A$1000,0))</f>
        <v>GI pipe (medium class) 1/2-3/4in</v>
      </c>
      <c r="E285" s="6" t="s">
        <v>3125</v>
      </c>
      <c r="F285" s="6"/>
      <c r="G285" s="6"/>
      <c r="H285" s="9" t="n">
        <f aca="false">Coefficients!$D$194</f>
        <v>25</v>
      </c>
      <c r="I285" s="6" t="s">
        <v>3051</v>
      </c>
      <c r="J285" s="6"/>
      <c r="K285" s="8" t="str">
        <f aca="false">INDEX(Material_Master!$F$2:$F$1000,MATCH(C285,Material_Master!$A$2:$A$1000,0))</f>
        <v>rft</v>
      </c>
      <c r="L285" s="10" t="n">
        <f aca="false">INDEX(Material_Master!$Q$2:$Q$1000,MATCH(C285,Material_Master!$A$2:$A$1000,0))</f>
        <v>0.07</v>
      </c>
    </row>
    <row r="286" customFormat="false" ht="22.35" hidden="false" customHeight="false" outlineLevel="0" collapsed="false">
      <c r="A286" s="6" t="s">
        <v>1804</v>
      </c>
      <c r="B286" s="8" t="str">
        <f aca="false">INDEX(Work_Items!$D$2:$D$300,MATCH(A286,Work_Items!$A$2:$A$300,0))</f>
        <v>Gas point (GI pipe, valve, fittings)</v>
      </c>
      <c r="C286" s="6" t="s">
        <v>1806</v>
      </c>
      <c r="D286" s="8" t="str">
        <f aca="false">INDEX(Material_Master!$D$2:$D$1000,MATCH(C286,Material_Master!$A$2:$A$1000,0))</f>
        <v>GI threaded fittings (elbows, tees, sockets, unions)</v>
      </c>
      <c r="E286" s="6" t="s">
        <v>3126</v>
      </c>
      <c r="F286" s="6"/>
      <c r="G286" s="6"/>
      <c r="H286" s="9" t="n">
        <f aca="false">Coefficients!$D$195</f>
        <v>6</v>
      </c>
      <c r="I286" s="6" t="s">
        <v>3055</v>
      </c>
      <c r="J286" s="6"/>
      <c r="K286" s="8" t="str">
        <f aca="false">INDEX(Material_Master!$F$2:$F$1000,MATCH(C286,Material_Master!$A$2:$A$1000,0))</f>
        <v>Nos</v>
      </c>
      <c r="L286" s="10" t="n">
        <f aca="false">INDEX(Material_Master!$Q$2:$Q$1000,MATCH(C286,Material_Master!$A$2:$A$1000,0))</f>
        <v>0.05</v>
      </c>
    </row>
    <row r="287" customFormat="false" ht="15" hidden="false" customHeight="false" outlineLevel="0" collapsed="false">
      <c r="A287" s="6" t="s">
        <v>1804</v>
      </c>
      <c r="B287" s="8" t="str">
        <f aca="false">INDEX(Work_Items!$D$2:$D$300,MATCH(A287,Work_Items!$A$2:$A$300,0))</f>
        <v>Gas point (GI pipe, valve, fittings)</v>
      </c>
      <c r="C287" s="6" t="s">
        <v>1811</v>
      </c>
      <c r="D287" s="8" t="str">
        <f aca="false">INDEX(Material_Master!$D$2:$D$1000,MATCH(C287,Material_Master!$A$2:$A$1000,0))</f>
        <v>Gas cock/ball valve with nozzle</v>
      </c>
      <c r="E287" s="6" t="s">
        <v>2914</v>
      </c>
      <c r="F287" s="6"/>
      <c r="G287" s="6"/>
      <c r="H287" s="9" t="n">
        <f aca="false">Coefficients!$D$2</f>
        <v>1</v>
      </c>
      <c r="I287" s="6" t="s">
        <v>3055</v>
      </c>
      <c r="J287" s="6"/>
      <c r="K287" s="8" t="str">
        <f aca="false">INDEX(Material_Master!$F$2:$F$1000,MATCH(C287,Material_Master!$A$2:$A$1000,0))</f>
        <v>Nos</v>
      </c>
      <c r="L287" s="10" t="n">
        <f aca="false">INDEX(Material_Master!$Q$2:$Q$1000,MATCH(C287,Material_Master!$A$2:$A$1000,0))</f>
        <v>0</v>
      </c>
    </row>
    <row r="288" customFormat="false" ht="22.35" hidden="false" customHeight="false" outlineLevel="0" collapsed="false">
      <c r="A288" s="6" t="s">
        <v>1233</v>
      </c>
      <c r="B288" s="8" t="str">
        <f aca="false">INDEX(Work_Items!$D$2:$D$300,MATCH(A288,Work_Items!$A$2:$A$300,0))</f>
        <v>Base cabinets</v>
      </c>
      <c r="C288" s="6" t="s">
        <v>1225</v>
      </c>
      <c r="D288" s="8" t="str">
        <f aca="false">INDEX(Material_Master!$D$2:$D$1000,MATCH(C288,Material_Master!$A$2:$A$1000,0))</f>
        <v>Kitchen base cabinet carcass (WPC/PVC foam board or HMR MDF 18mm)</v>
      </c>
      <c r="E288" s="6" t="s">
        <v>2914</v>
      </c>
      <c r="F288" s="6"/>
      <c r="G288" s="6"/>
      <c r="H288" s="9" t="n">
        <f aca="false">Coefficients!$D$2</f>
        <v>1</v>
      </c>
      <c r="I288" s="6" t="s">
        <v>3025</v>
      </c>
      <c r="J288" s="6"/>
      <c r="K288" s="8" t="str">
        <f aca="false">INDEX(Material_Master!$F$2:$F$1000,MATCH(C288,Material_Master!$A$2:$A$1000,0))</f>
        <v>rft</v>
      </c>
      <c r="L288" s="10" t="n">
        <f aca="false">INDEX(Material_Master!$Q$2:$Q$1000,MATCH(C288,Material_Master!$A$2:$A$1000,0))</f>
        <v>0.1</v>
      </c>
    </row>
    <row r="289" customFormat="false" ht="15" hidden="false" customHeight="false" outlineLevel="0" collapsed="false">
      <c r="A289" s="6" t="s">
        <v>1233</v>
      </c>
      <c r="B289" s="8" t="str">
        <f aca="false">INDEX(Work_Items!$D$2:$D$300,MATCH(A289,Work_Items!$A$2:$A$300,0))</f>
        <v>Base cabinets</v>
      </c>
      <c r="C289" s="6" t="s">
        <v>1243</v>
      </c>
      <c r="D289" s="8" t="str">
        <f aca="false">INDEX(Material_Master!$D$2:$D$1000,MATCH(C289,Material_Master!$A$2:$A$1000,0))</f>
        <v>Cabinet shutters (acrylic / laminate / lacquer)</v>
      </c>
      <c r="E289" s="6" t="s">
        <v>3127</v>
      </c>
      <c r="F289" s="6"/>
      <c r="G289" s="6"/>
      <c r="H289" s="9" t="n">
        <f aca="false">Coefficients!$D$148</f>
        <v>2.5</v>
      </c>
      <c r="I289" s="6" t="s">
        <v>3021</v>
      </c>
      <c r="J289" s="6"/>
      <c r="K289" s="8" t="str">
        <f aca="false">INDEX(Material_Master!$F$2:$F$1000,MATCH(C289,Material_Master!$A$2:$A$1000,0))</f>
        <v>sft</v>
      </c>
      <c r="L289" s="10" t="n">
        <f aca="false">INDEX(Material_Master!$Q$2:$Q$1000,MATCH(C289,Material_Master!$A$2:$A$1000,0))</f>
        <v>0.1</v>
      </c>
    </row>
    <row r="290" customFormat="false" ht="15" hidden="false" customHeight="false" outlineLevel="0" collapsed="false">
      <c r="A290" s="6" t="s">
        <v>1233</v>
      </c>
      <c r="B290" s="8" t="str">
        <f aca="false">INDEX(Work_Items!$D$2:$D$300,MATCH(A290,Work_Items!$A$2:$A$300,0))</f>
        <v>Base cabinets</v>
      </c>
      <c r="C290" s="6" t="s">
        <v>1289</v>
      </c>
      <c r="D290" s="8" t="str">
        <f aca="false">INDEX(Material_Master!$D$2:$D$1000,MATCH(C290,Material_Master!$A$2:$A$1000,0))</f>
        <v>PVC edge banding tape</v>
      </c>
      <c r="E290" s="6" t="s">
        <v>3128</v>
      </c>
      <c r="F290" s="6"/>
      <c r="G290" s="6"/>
      <c r="H290" s="9" t="n">
        <f aca="false">Coefficients!$D$151</f>
        <v>8</v>
      </c>
      <c r="I290" s="6" t="s">
        <v>3025</v>
      </c>
      <c r="J290" s="6"/>
      <c r="K290" s="8" t="str">
        <f aca="false">INDEX(Material_Master!$F$2:$F$1000,MATCH(C290,Material_Master!$A$2:$A$1000,0))</f>
        <v>rft</v>
      </c>
      <c r="L290" s="10" t="n">
        <f aca="false">INDEX(Material_Master!$Q$2:$Q$1000,MATCH(C290,Material_Master!$A$2:$A$1000,0))</f>
        <v>0.05</v>
      </c>
    </row>
    <row r="291" customFormat="false" ht="22.35" hidden="false" customHeight="false" outlineLevel="0" collapsed="false">
      <c r="A291" s="6" t="s">
        <v>1233</v>
      </c>
      <c r="B291" s="8" t="str">
        <f aca="false">INDEX(Work_Items!$D$2:$D$300,MATCH(A291,Work_Items!$A$2:$A$300,0))</f>
        <v>Base cabinets</v>
      </c>
      <c r="C291" s="6" t="s">
        <v>1278</v>
      </c>
      <c r="D291" s="8" t="str">
        <f aca="false">INDEX(Material_Master!$D$2:$D$1000,MATCH(C291,Material_Master!$A$2:$A$1000,0))</f>
        <v>Kitchen hardware (hinges, drawer runners, handles, baskets)</v>
      </c>
      <c r="E291" s="6" t="s">
        <v>3129</v>
      </c>
      <c r="F291" s="6"/>
      <c r="G291" s="6"/>
      <c r="H291" s="9" t="n">
        <f aca="false">Coefficients!$D$152</f>
        <v>0.5</v>
      </c>
      <c r="I291" s="6" t="s">
        <v>3130</v>
      </c>
      <c r="J291" s="6"/>
      <c r="K291" s="8" t="str">
        <f aca="false">INDEX(Material_Master!$F$2:$F$1000,MATCH(C291,Material_Master!$A$2:$A$1000,0))</f>
        <v>set</v>
      </c>
      <c r="L291" s="10" t="n">
        <f aca="false">INDEX(Material_Master!$Q$2:$Q$1000,MATCH(C291,Material_Master!$A$2:$A$1000,0))</f>
        <v>0</v>
      </c>
    </row>
    <row r="292" customFormat="false" ht="15" hidden="false" customHeight="false" outlineLevel="0" collapsed="false">
      <c r="A292" s="6" t="s">
        <v>1242</v>
      </c>
      <c r="B292" s="8" t="str">
        <f aca="false">INDEX(Work_Items!$D$2:$D$300,MATCH(A292,Work_Items!$A$2:$A$300,0))</f>
        <v>Wall cabinets</v>
      </c>
      <c r="C292" s="6" t="s">
        <v>1236</v>
      </c>
      <c r="D292" s="8" t="str">
        <f aca="false">INDEX(Material_Master!$D$2:$D$1000,MATCH(C292,Material_Master!$A$2:$A$1000,0))</f>
        <v>Kitchen wall cabinet carcass</v>
      </c>
      <c r="E292" s="6" t="s">
        <v>2914</v>
      </c>
      <c r="F292" s="6"/>
      <c r="G292" s="6"/>
      <c r="H292" s="9" t="n">
        <f aca="false">Coefficients!$D$2</f>
        <v>1</v>
      </c>
      <c r="I292" s="6" t="s">
        <v>3025</v>
      </c>
      <c r="J292" s="6"/>
      <c r="K292" s="8" t="str">
        <f aca="false">INDEX(Material_Master!$F$2:$F$1000,MATCH(C292,Material_Master!$A$2:$A$1000,0))</f>
        <v>rft</v>
      </c>
      <c r="L292" s="10" t="n">
        <f aca="false">INDEX(Material_Master!$Q$2:$Q$1000,MATCH(C292,Material_Master!$A$2:$A$1000,0))</f>
        <v>0.1</v>
      </c>
    </row>
    <row r="293" customFormat="false" ht="15" hidden="false" customHeight="false" outlineLevel="0" collapsed="false">
      <c r="A293" s="6" t="s">
        <v>1242</v>
      </c>
      <c r="B293" s="8" t="str">
        <f aca="false">INDEX(Work_Items!$D$2:$D$300,MATCH(A293,Work_Items!$A$2:$A$300,0))</f>
        <v>Wall cabinets</v>
      </c>
      <c r="C293" s="6" t="s">
        <v>1243</v>
      </c>
      <c r="D293" s="8" t="str">
        <f aca="false">INDEX(Material_Master!$D$2:$D$1000,MATCH(C293,Material_Master!$A$2:$A$1000,0))</f>
        <v>Cabinet shutters (acrylic / laminate / lacquer)</v>
      </c>
      <c r="E293" s="6" t="s">
        <v>3131</v>
      </c>
      <c r="F293" s="6"/>
      <c r="G293" s="6"/>
      <c r="H293" s="9" t="n">
        <f aca="false">Coefficients!$D$149</f>
        <v>2</v>
      </c>
      <c r="I293" s="6" t="s">
        <v>3021</v>
      </c>
      <c r="J293" s="6"/>
      <c r="K293" s="8" t="str">
        <f aca="false">INDEX(Material_Master!$F$2:$F$1000,MATCH(C293,Material_Master!$A$2:$A$1000,0))</f>
        <v>sft</v>
      </c>
      <c r="L293" s="10" t="n">
        <f aca="false">INDEX(Material_Master!$Q$2:$Q$1000,MATCH(C293,Material_Master!$A$2:$A$1000,0))</f>
        <v>0.1</v>
      </c>
    </row>
    <row r="294" customFormat="false" ht="22.35" hidden="false" customHeight="false" outlineLevel="0" collapsed="false">
      <c r="A294" s="6" t="s">
        <v>1242</v>
      </c>
      <c r="B294" s="8" t="str">
        <f aca="false">INDEX(Work_Items!$D$2:$D$300,MATCH(A294,Work_Items!$A$2:$A$300,0))</f>
        <v>Wall cabinets</v>
      </c>
      <c r="C294" s="6" t="s">
        <v>1278</v>
      </c>
      <c r="D294" s="8" t="str">
        <f aca="false">INDEX(Material_Master!$D$2:$D$1000,MATCH(C294,Material_Master!$A$2:$A$1000,0))</f>
        <v>Kitchen hardware (hinges, drawer runners, handles, baskets)</v>
      </c>
      <c r="E294" s="6" t="s">
        <v>3129</v>
      </c>
      <c r="F294" s="6"/>
      <c r="G294" s="6"/>
      <c r="H294" s="9" t="n">
        <f aca="false">Coefficients!$D$152</f>
        <v>0.5</v>
      </c>
      <c r="I294" s="6" t="s">
        <v>3130</v>
      </c>
      <c r="J294" s="6"/>
      <c r="K294" s="8" t="str">
        <f aca="false">INDEX(Material_Master!$F$2:$F$1000,MATCH(C294,Material_Master!$A$2:$A$1000,0))</f>
        <v>set</v>
      </c>
      <c r="L294" s="10" t="n">
        <f aca="false">INDEX(Material_Master!$Q$2:$Q$1000,MATCH(C294,Material_Master!$A$2:$A$1000,0))</f>
        <v>0</v>
      </c>
    </row>
    <row r="295" customFormat="false" ht="15" hidden="false" customHeight="false" outlineLevel="0" collapsed="false">
      <c r="A295" s="6" t="s">
        <v>1254</v>
      </c>
      <c r="B295" s="8" t="str">
        <f aca="false">INDEX(Work_Items!$D$2:$D$300,MATCH(A295,Work_Items!$A$2:$A$300,0))</f>
        <v>Countertop</v>
      </c>
      <c r="C295" s="6" t="s">
        <v>1248</v>
      </c>
      <c r="D295" s="8" t="str">
        <f aca="false">INDEX(Material_Master!$D$2:$D$1000,MATCH(C295,Material_Master!$A$2:$A$1000,0))</f>
        <v>Countertop - granite 3/4in (or quartz)</v>
      </c>
      <c r="E295" s="6" t="s">
        <v>3132</v>
      </c>
      <c r="F295" s="6"/>
      <c r="G295" s="6"/>
      <c r="H295" s="9" t="n">
        <f aca="false">Coefficients!$D$150</f>
        <v>2</v>
      </c>
      <c r="I295" s="6" t="s">
        <v>3021</v>
      </c>
      <c r="J295" s="6"/>
      <c r="K295" s="8" t="str">
        <f aca="false">INDEX(Material_Master!$F$2:$F$1000,MATCH(C295,Material_Master!$A$2:$A$1000,0))</f>
        <v>sft</v>
      </c>
      <c r="L295" s="10" t="n">
        <f aca="false">INDEX(Material_Master!$Q$2:$Q$1000,MATCH(C295,Material_Master!$A$2:$A$1000,0))</f>
        <v>0.1</v>
      </c>
    </row>
    <row r="296" customFormat="false" ht="22.35" hidden="false" customHeight="false" outlineLevel="0" collapsed="false">
      <c r="A296" s="6" t="s">
        <v>1168</v>
      </c>
      <c r="B296" s="8" t="str">
        <f aca="false">INDEX(Work_Items!$D$2:$D$300,MATCH(A296,Work_Items!$A$2:$A$300,0))</f>
        <v>Built-in wardrobes</v>
      </c>
      <c r="C296" s="6" t="s">
        <v>1159</v>
      </c>
      <c r="D296" s="8" t="str">
        <f aca="false">INDEX(Material_Master!$D$2:$D$1000,MATCH(C296,Material_Master!$A$2:$A$1000,0))</f>
        <v>Wardrobe carcass board (melamine-faced MDF / particle board 18 mm)</v>
      </c>
      <c r="E296" s="6" t="s">
        <v>3133</v>
      </c>
      <c r="F296" s="6"/>
      <c r="G296" s="6"/>
      <c r="H296" s="9" t="n">
        <f aca="false">Coefficients!$D$146</f>
        <v>2.8</v>
      </c>
      <c r="I296" s="6" t="s">
        <v>2925</v>
      </c>
      <c r="J296" s="6"/>
      <c r="K296" s="8" t="str">
        <f aca="false">INDEX(Material_Master!$F$2:$F$1000,MATCH(C296,Material_Master!$A$2:$A$1000,0))</f>
        <v>sft</v>
      </c>
      <c r="L296" s="10" t="n">
        <f aca="false">INDEX(Material_Master!$Q$2:$Q$1000,MATCH(C296,Material_Master!$A$2:$A$1000,0))</f>
        <v>0.1</v>
      </c>
    </row>
    <row r="297" customFormat="false" ht="15" hidden="false" customHeight="false" outlineLevel="0" collapsed="false">
      <c r="A297" s="6" t="s">
        <v>1168</v>
      </c>
      <c r="B297" s="8" t="str">
        <f aca="false">INDEX(Work_Items!$D$2:$D$300,MATCH(A297,Work_Items!$A$2:$A$300,0))</f>
        <v>Built-in wardrobes</v>
      </c>
      <c r="C297" s="6" t="s">
        <v>1171</v>
      </c>
      <c r="D297" s="8" t="str">
        <f aca="false">INDEX(Material_Master!$D$2:$D$1000,MATCH(C297,Material_Master!$A$2:$A$1000,0))</f>
        <v>Wardrobe shutters (laminate/lacquer MDF)</v>
      </c>
      <c r="E297" s="6" t="s">
        <v>2914</v>
      </c>
      <c r="F297" s="6"/>
      <c r="G297" s="6"/>
      <c r="H297" s="9" t="n">
        <f aca="false">Coefficients!$D$2</f>
        <v>1</v>
      </c>
      <c r="I297" s="6" t="s">
        <v>2925</v>
      </c>
      <c r="J297" s="6"/>
      <c r="K297" s="8" t="str">
        <f aca="false">INDEX(Material_Master!$F$2:$F$1000,MATCH(C297,Material_Master!$A$2:$A$1000,0))</f>
        <v>sft</v>
      </c>
      <c r="L297" s="10" t="n">
        <f aca="false">INDEX(Material_Master!$Q$2:$Q$1000,MATCH(C297,Material_Master!$A$2:$A$1000,0))</f>
        <v>0.1</v>
      </c>
    </row>
    <row r="298" customFormat="false" ht="22.35" hidden="false" customHeight="false" outlineLevel="0" collapsed="false">
      <c r="A298" s="6" t="s">
        <v>1168</v>
      </c>
      <c r="B298" s="8" t="str">
        <f aca="false">INDEX(Work_Items!$D$2:$D$300,MATCH(A298,Work_Items!$A$2:$A$300,0))</f>
        <v>Built-in wardrobes</v>
      </c>
      <c r="C298" s="6" t="s">
        <v>1177</v>
      </c>
      <c r="D298" s="8" t="str">
        <f aca="false">INDEX(Material_Master!$D$2:$D$1000,MATCH(C298,Material_Master!$A$2:$A$1000,0))</f>
        <v>Cabinet hardware (soft-close hinges, channels, handles, locks)</v>
      </c>
      <c r="E298" s="6" t="s">
        <v>3134</v>
      </c>
      <c r="F298" s="6"/>
      <c r="G298" s="6"/>
      <c r="H298" s="9" t="n">
        <f aca="false">Coefficients!$D$147</f>
        <v>0.125</v>
      </c>
      <c r="I298" s="6" t="s">
        <v>3135</v>
      </c>
      <c r="J298" s="6"/>
      <c r="K298" s="8" t="str">
        <f aca="false">INDEX(Material_Master!$F$2:$F$1000,MATCH(C298,Material_Master!$A$2:$A$1000,0))</f>
        <v>set</v>
      </c>
      <c r="L298" s="10" t="n">
        <f aca="false">INDEX(Material_Master!$Q$2:$Q$1000,MATCH(C298,Material_Master!$A$2:$A$1000,0))</f>
        <v>0</v>
      </c>
    </row>
    <row r="299" customFormat="false" ht="22.35" hidden="false" customHeight="false" outlineLevel="0" collapsed="false">
      <c r="A299" s="6" t="s">
        <v>2896</v>
      </c>
      <c r="B299" s="8" t="str">
        <f aca="false">INDEX(Work_Items!$D$2:$D$300,MATCH(A299,Work_Items!$A$2:$A$300,0))</f>
        <v>Boundary wall (9in, pillars) incl. foundation</v>
      </c>
      <c r="C299" s="6" t="s">
        <v>492</v>
      </c>
      <c r="D299" s="8" t="str">
        <f aca="false">INDEX(Material_Master!$D$2:$D$1000,MATCH(C299,Material_Master!$A$2:$A$1000,0))</f>
        <v>Burnt clay brick Class A ('Awwal') 9x4.5x3in nominal</v>
      </c>
      <c r="E299" s="6" t="s">
        <v>3136</v>
      </c>
      <c r="F299" s="6"/>
      <c r="G299" s="6"/>
      <c r="H299" s="9" t="n">
        <f aca="false">Coefficients!$D$231</f>
        <v>108.094365049981</v>
      </c>
      <c r="I299" s="6" t="s">
        <v>3031</v>
      </c>
      <c r="J299" s="6"/>
      <c r="K299" s="8" t="str">
        <f aca="false">INDEX(Material_Master!$F$2:$F$1000,MATCH(C299,Material_Master!$A$2:$A$1000,0))</f>
        <v>Nos</v>
      </c>
      <c r="L299" s="10" t="n">
        <f aca="false">INDEX(Material_Master!$Q$2:$Q$1000,MATCH(C299,Material_Master!$A$2:$A$1000,0))</f>
        <v>0.05</v>
      </c>
    </row>
    <row r="300" customFormat="false" ht="15" hidden="false" customHeight="false" outlineLevel="0" collapsed="false">
      <c r="A300" s="6" t="s">
        <v>2896</v>
      </c>
      <c r="B300" s="8" t="str">
        <f aca="false">INDEX(Work_Items!$D$2:$D$300,MATCH(A300,Work_Items!$A$2:$A$300,0))</f>
        <v>Boundary wall (9in, pillars) incl. foundation</v>
      </c>
      <c r="C300" s="6" t="s">
        <v>211</v>
      </c>
      <c r="D300" s="8" t="str">
        <f aca="false">INDEX(Material_Master!$D$2:$D$1000,MATCH(C300,Material_Master!$A$2:$A$1000,0))</f>
        <v>Ordinary Portland Cement (OPC) - 50 kg bag</v>
      </c>
      <c r="E300" s="6" t="s">
        <v>3137</v>
      </c>
      <c r="F300" s="6" t="s">
        <v>2976</v>
      </c>
      <c r="G300" s="6" t="s">
        <v>2928</v>
      </c>
      <c r="H300" s="9" t="n">
        <f aca="false">Coefficients!$D$232*Mix_Design!$J$10</f>
        <v>0.287092824350409</v>
      </c>
      <c r="I300" s="6" t="s">
        <v>3138</v>
      </c>
      <c r="J300" s="6" t="s">
        <v>3139</v>
      </c>
      <c r="K300" s="8" t="str">
        <f aca="false">INDEX(Material_Master!$F$2:$F$1000,MATCH(C300,Material_Master!$A$2:$A$1000,0))</f>
        <v>bag</v>
      </c>
      <c r="L300" s="10" t="n">
        <f aca="false">INDEX(Material_Master!$Q$2:$Q$1000,MATCH(C300,Material_Master!$A$2:$A$1000,0))</f>
        <v>0.02</v>
      </c>
    </row>
    <row r="301" customFormat="false" ht="15" hidden="false" customHeight="false" outlineLevel="0" collapsed="false">
      <c r="A301" s="6" t="s">
        <v>2896</v>
      </c>
      <c r="B301" s="8" t="str">
        <f aca="false">INDEX(Work_Items!$D$2:$D$300,MATCH(A301,Work_Items!$A$2:$A$300,0))</f>
        <v>Boundary wall (9in, pillars) incl. foundation</v>
      </c>
      <c r="C301" s="6" t="s">
        <v>258</v>
      </c>
      <c r="D301" s="8" t="str">
        <f aca="false">INDEX(Material_Master!$D$2:$D$1000,MATCH(C301,Material_Master!$A$2:$A$1000,0))</f>
        <v>Sand for masonry &amp; plaster</v>
      </c>
      <c r="E301" s="6" t="s">
        <v>3137</v>
      </c>
      <c r="F301" s="6" t="s">
        <v>2976</v>
      </c>
      <c r="G301" s="6" t="s">
        <v>2930</v>
      </c>
      <c r="H301" s="9" t="n">
        <f aca="false">Coefficients!$D$232*Mix_Design!$K$10</f>
        <v>2.11220770085154</v>
      </c>
      <c r="I301" s="6" t="s">
        <v>3029</v>
      </c>
      <c r="J301" s="6"/>
      <c r="K301" s="8" t="str">
        <f aca="false">INDEX(Material_Master!$F$2:$F$1000,MATCH(C301,Material_Master!$A$2:$A$1000,0))</f>
        <v>cft</v>
      </c>
      <c r="L301" s="10" t="n">
        <f aca="false">INDEX(Material_Master!$Q$2:$Q$1000,MATCH(C301,Material_Master!$A$2:$A$1000,0))</f>
        <v>0.1</v>
      </c>
    </row>
    <row r="302" customFormat="false" ht="15" hidden="false" customHeight="false" outlineLevel="0" collapsed="false">
      <c r="A302" s="6" t="s">
        <v>2896</v>
      </c>
      <c r="B302" s="8" t="str">
        <f aca="false">INDEX(Work_Items!$D$2:$D$300,MATCH(A302,Work_Items!$A$2:$A$300,0))</f>
        <v>Boundary wall (9in, pillars) incl. foundation</v>
      </c>
      <c r="C302" s="6" t="s">
        <v>246</v>
      </c>
      <c r="D302" s="8" t="str">
        <f aca="false">INDEX(Material_Master!$D$2:$D$1000,MATCH(C302,Material_Master!$A$2:$A$1000,0))</f>
        <v>Coarse sand for concrete (Lawrencepur)</v>
      </c>
      <c r="E302" s="6" t="s">
        <v>3140</v>
      </c>
      <c r="F302" s="6" t="s">
        <v>2927</v>
      </c>
      <c r="G302" s="6" t="s">
        <v>2930</v>
      </c>
      <c r="H302" s="9" t="n">
        <f aca="false">Coefficients!$D$221*Mix_Design!$K$2</f>
        <v>0.236923076923077</v>
      </c>
      <c r="I302" s="6" t="s">
        <v>3029</v>
      </c>
      <c r="J302" s="6" t="s">
        <v>3141</v>
      </c>
      <c r="K302" s="8" t="str">
        <f aca="false">INDEX(Material_Master!$F$2:$F$1000,MATCH(C302,Material_Master!$A$2:$A$1000,0))</f>
        <v>cft</v>
      </c>
      <c r="L302" s="10" t="n">
        <f aca="false">INDEX(Material_Master!$Q$2:$Q$1000,MATCH(C302,Material_Master!$A$2:$A$1000,0))</f>
        <v>0.1</v>
      </c>
    </row>
    <row r="303" customFormat="false" ht="15" hidden="false" customHeight="false" outlineLevel="0" collapsed="false">
      <c r="A303" s="6" t="s">
        <v>2896</v>
      </c>
      <c r="B303" s="8" t="str">
        <f aca="false">INDEX(Work_Items!$D$2:$D$300,MATCH(A303,Work_Items!$A$2:$A$300,0))</f>
        <v>Boundary wall (9in, pillars) incl. foundation</v>
      </c>
      <c r="C303" s="6" t="s">
        <v>211</v>
      </c>
      <c r="D303" s="8" t="str">
        <f aca="false">INDEX(Material_Master!$D$2:$D$1000,MATCH(C303,Material_Master!$A$2:$A$1000,0))</f>
        <v>Ordinary Portland Cement (OPC) - 50 kg bag</v>
      </c>
      <c r="E303" s="6" t="s">
        <v>3140</v>
      </c>
      <c r="F303" s="6" t="s">
        <v>2927</v>
      </c>
      <c r="G303" s="6" t="s">
        <v>2928</v>
      </c>
      <c r="H303" s="9" t="n">
        <f aca="false">Coefficients!$D$221*Mix_Design!$J$2</f>
        <v>0.0483041383289722</v>
      </c>
      <c r="I303" s="6" t="s">
        <v>3138</v>
      </c>
      <c r="J303" s="6" t="s">
        <v>3141</v>
      </c>
      <c r="K303" s="8" t="str">
        <f aca="false">INDEX(Material_Master!$F$2:$F$1000,MATCH(C303,Material_Master!$A$2:$A$1000,0))</f>
        <v>bag</v>
      </c>
      <c r="L303" s="10" t="n">
        <f aca="false">INDEX(Material_Master!$Q$2:$Q$1000,MATCH(C303,Material_Master!$A$2:$A$1000,0))</f>
        <v>0.02</v>
      </c>
    </row>
    <row r="304" customFormat="false" ht="15" hidden="false" customHeight="false" outlineLevel="0" collapsed="false">
      <c r="A304" s="6" t="s">
        <v>2896</v>
      </c>
      <c r="B304" s="8" t="str">
        <f aca="false">INDEX(Work_Items!$D$2:$D$300,MATCH(A304,Work_Items!$A$2:$A$300,0))</f>
        <v>Boundary wall (9in, pillars) incl. foundation</v>
      </c>
      <c r="C304" s="6" t="s">
        <v>287</v>
      </c>
      <c r="D304" s="8" t="str">
        <f aca="false">INDEX(Material_Master!$D$2:$D$1000,MATCH(C304,Material_Master!$A$2:$A$1000,0))</f>
        <v>Crushed stone 1.5in down (or brick ballast)</v>
      </c>
      <c r="E304" s="6" t="s">
        <v>3140</v>
      </c>
      <c r="F304" s="6" t="s">
        <v>2927</v>
      </c>
      <c r="G304" s="6" t="s">
        <v>2931</v>
      </c>
      <c r="H304" s="9" t="n">
        <f aca="false">Coefficients!$D$221*Mix_Design!$L$2</f>
        <v>0.473846153846154</v>
      </c>
      <c r="I304" s="6" t="s">
        <v>3029</v>
      </c>
      <c r="J304" s="6"/>
      <c r="K304" s="8" t="str">
        <f aca="false">INDEX(Material_Master!$F$2:$F$1000,MATCH(C304,Material_Master!$A$2:$A$1000,0))</f>
        <v>cft</v>
      </c>
      <c r="L304" s="10" t="n">
        <f aca="false">INDEX(Material_Master!$Q$2:$Q$1000,MATCH(C304,Material_Master!$A$2:$A$1000,0))</f>
        <v>0.075</v>
      </c>
    </row>
    <row r="305" customFormat="false" ht="15" hidden="false" customHeight="false" outlineLevel="0" collapsed="false">
      <c r="A305" s="6" t="s">
        <v>2331</v>
      </c>
      <c r="B305" s="8" t="str">
        <f aca="false">INDEX(Work_Items!$D$2:$D$300,MATCH(A305,Work_Items!$A$2:$A$300,0))</f>
        <v>Rainwater harvesting recharge well complete</v>
      </c>
      <c r="C305" s="6" t="s">
        <v>2322</v>
      </c>
      <c r="D305" s="8" t="str">
        <f aca="false">INDEX(Material_Master!$D$2:$D$1000,MATCH(C305,Material_Master!$A$2:$A$1000,0))</f>
        <v>Blank casing pipe uPVC/PVC 6-8in</v>
      </c>
      <c r="E305" s="6" t="s">
        <v>3142</v>
      </c>
      <c r="F305" s="6"/>
      <c r="G305" s="6"/>
      <c r="H305" s="9" t="n">
        <f aca="false">Coefficients!$D$227</f>
        <v>70</v>
      </c>
      <c r="I305" s="6" t="s">
        <v>3143</v>
      </c>
      <c r="J305" s="6"/>
      <c r="K305" s="8" t="str">
        <f aca="false">INDEX(Material_Master!$F$2:$F$1000,MATCH(C305,Material_Master!$A$2:$A$1000,0))</f>
        <v>rft</v>
      </c>
      <c r="L305" s="10" t="n">
        <f aca="false">INDEX(Material_Master!$Q$2:$Q$1000,MATCH(C305,Material_Master!$A$2:$A$1000,0))</f>
        <v>0.05</v>
      </c>
    </row>
    <row r="306" customFormat="false" ht="15" hidden="false" customHeight="false" outlineLevel="0" collapsed="false">
      <c r="A306" s="6" t="s">
        <v>2331</v>
      </c>
      <c r="B306" s="8" t="str">
        <f aca="false">INDEX(Work_Items!$D$2:$D$300,MATCH(A306,Work_Items!$A$2:$A$300,0))</f>
        <v>Rainwater harvesting recharge well complete</v>
      </c>
      <c r="C306" s="6" t="s">
        <v>2356</v>
      </c>
      <c r="D306" s="8" t="str">
        <f aca="false">INDEX(Material_Master!$D$2:$D$1000,MATCH(C306,Material_Master!$A$2:$A$1000,0))</f>
        <v>Slotted/screen pipe uPVC 6-8in</v>
      </c>
      <c r="E306" s="6" t="s">
        <v>3144</v>
      </c>
      <c r="F306" s="6"/>
      <c r="G306" s="6"/>
      <c r="H306" s="9" t="n">
        <f aca="false">Coefficients!$D$226</f>
        <v>30</v>
      </c>
      <c r="I306" s="6" t="s">
        <v>3143</v>
      </c>
      <c r="J306" s="6"/>
      <c r="K306" s="8" t="str">
        <f aca="false">INDEX(Material_Master!$F$2:$F$1000,MATCH(C306,Material_Master!$A$2:$A$1000,0))</f>
        <v>rft</v>
      </c>
      <c r="L306" s="10" t="n">
        <f aca="false">INDEX(Material_Master!$Q$2:$Q$1000,MATCH(C306,Material_Master!$A$2:$A$1000,0))</f>
        <v>0.05</v>
      </c>
    </row>
    <row r="307" customFormat="false" ht="22.35" hidden="false" customHeight="false" outlineLevel="0" collapsed="false">
      <c r="A307" s="6" t="s">
        <v>2331</v>
      </c>
      <c r="B307" s="8" t="str">
        <f aca="false">INDEX(Work_Items!$D$2:$D$300,MATCH(A307,Work_Items!$A$2:$A$300,0))</f>
        <v>Rainwater harvesting recharge well complete</v>
      </c>
      <c r="C307" s="6" t="s">
        <v>2332</v>
      </c>
      <c r="D307" s="8" t="str">
        <f aca="false">INDEX(Material_Master!$D$2:$D$1000,MATCH(C307,Material_Master!$A$2:$A$1000,0))</f>
        <v>Filter media (graded gravel, coarse sand, charcoal)</v>
      </c>
      <c r="E307" s="6" t="s">
        <v>3145</v>
      </c>
      <c r="F307" s="6"/>
      <c r="G307" s="6"/>
      <c r="H307" s="9" t="n">
        <f aca="false">Coefficients!$D$228</f>
        <v>60</v>
      </c>
      <c r="I307" s="6" t="s">
        <v>3146</v>
      </c>
      <c r="J307" s="6"/>
      <c r="K307" s="8" t="str">
        <f aca="false">INDEX(Material_Master!$F$2:$F$1000,MATCH(C307,Material_Master!$A$2:$A$1000,0))</f>
        <v>cft</v>
      </c>
      <c r="L307" s="10" t="n">
        <f aca="false">INDEX(Material_Master!$Q$2:$Q$1000,MATCH(C307,Material_Master!$A$2:$A$1000,0))</f>
        <v>0.075</v>
      </c>
    </row>
    <row r="308" customFormat="false" ht="15" hidden="false" customHeight="false" outlineLevel="0" collapsed="false">
      <c r="A308" s="6" t="s">
        <v>2331</v>
      </c>
      <c r="B308" s="8" t="str">
        <f aca="false">INDEX(Work_Items!$D$2:$D$300,MATCH(A308,Work_Items!$A$2:$A$300,0))</f>
        <v>Rainwater harvesting recharge well complete</v>
      </c>
      <c r="C308" s="6" t="s">
        <v>2337</v>
      </c>
      <c r="D308" s="8" t="str">
        <f aca="false">INDEX(Material_Master!$D$2:$D$1000,MATCH(C308,Material_Master!$A$2:$A$1000,0))</f>
        <v>Silt/desilting chamber (brick/RCC) with cover</v>
      </c>
      <c r="E308" s="6" t="s">
        <v>2914</v>
      </c>
      <c r="F308" s="6"/>
      <c r="G308" s="6"/>
      <c r="H308" s="9" t="n">
        <f aca="false">Coefficients!$D$2</f>
        <v>1</v>
      </c>
      <c r="I308" s="6" t="s">
        <v>3147</v>
      </c>
      <c r="J308" s="6"/>
      <c r="K308" s="8" t="str">
        <f aca="false">INDEX(Material_Master!$F$2:$F$1000,MATCH(C308,Material_Master!$A$2:$A$1000,0))</f>
        <v>Nos</v>
      </c>
      <c r="L308" s="10" t="n">
        <f aca="false">INDEX(Material_Master!$Q$2:$Q$1000,MATCH(C308,Material_Master!$A$2:$A$1000,0))</f>
        <v>0</v>
      </c>
    </row>
    <row r="309" customFormat="false" ht="15" hidden="false" customHeight="false" outlineLevel="0" collapsed="false">
      <c r="A309" s="6" t="s">
        <v>2331</v>
      </c>
      <c r="B309" s="8" t="str">
        <f aca="false">INDEX(Work_Items!$D$2:$D$300,MATCH(A309,Work_Items!$A$2:$A$300,0))</f>
        <v>Rainwater harvesting recharge well complete</v>
      </c>
      <c r="C309" s="6" t="s">
        <v>2341</v>
      </c>
      <c r="D309" s="8" t="str">
        <f aca="false">INDEX(Material_Master!$D$2:$D$1000,MATCH(C309,Material_Master!$A$2:$A$1000,0))</f>
        <v>First-flush diverter</v>
      </c>
      <c r="E309" s="6" t="s">
        <v>2914</v>
      </c>
      <c r="F309" s="6"/>
      <c r="G309" s="6"/>
      <c r="H309" s="9" t="n">
        <f aca="false">Coefficients!$D$2</f>
        <v>1</v>
      </c>
      <c r="I309" s="6" t="s">
        <v>3147</v>
      </c>
      <c r="J309" s="6"/>
      <c r="K309" s="8" t="str">
        <f aca="false">INDEX(Material_Master!$F$2:$F$1000,MATCH(C309,Material_Master!$A$2:$A$1000,0))</f>
        <v>Nos</v>
      </c>
      <c r="L309" s="10" t="n">
        <f aca="false">INDEX(Material_Master!$Q$2:$Q$1000,MATCH(C309,Material_Master!$A$2:$A$1000,0))</f>
        <v>0</v>
      </c>
    </row>
  </sheetData>
  <autoFilter ref="A1:L30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3" min="3" style="0" width="48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44"/>
    <col collapsed="false" customWidth="true" hidden="false" outlineLevel="0" max="7" min="7" style="0" width="40"/>
  </cols>
  <sheetData>
    <row r="1" customFormat="false" ht="31.5" hidden="false" customHeight="true" outlineLevel="0" collapsed="false">
      <c r="A1" s="4" t="s">
        <v>3148</v>
      </c>
      <c r="B1" s="4" t="s">
        <v>3149</v>
      </c>
      <c r="C1" s="4" t="s">
        <v>3150</v>
      </c>
      <c r="D1" s="4" t="s">
        <v>3151</v>
      </c>
      <c r="E1" s="4" t="s">
        <v>55</v>
      </c>
      <c r="F1" s="4" t="s">
        <v>3152</v>
      </c>
      <c r="G1" s="4" t="s">
        <v>1406</v>
      </c>
    </row>
    <row r="2" customFormat="false" ht="15" hidden="false" customHeight="false" outlineLevel="0" collapsed="false">
      <c r="A2" s="6" t="s">
        <v>2914</v>
      </c>
      <c r="B2" s="6" t="s">
        <v>3153</v>
      </c>
      <c r="C2" s="6" t="s">
        <v>3154</v>
      </c>
      <c r="D2" s="11" t="n">
        <v>1</v>
      </c>
      <c r="E2" s="6" t="s">
        <v>83</v>
      </c>
      <c r="F2" s="6" t="s">
        <v>3155</v>
      </c>
      <c r="G2" s="6" t="s">
        <v>3156</v>
      </c>
    </row>
    <row r="3" customFormat="false" ht="15" hidden="false" customHeight="false" outlineLevel="0" collapsed="false">
      <c r="A3" s="6" t="s">
        <v>3157</v>
      </c>
      <c r="B3" s="6" t="s">
        <v>3153</v>
      </c>
      <c r="C3" s="6" t="s">
        <v>3158</v>
      </c>
      <c r="D3" s="11" t="n">
        <v>35.3147</v>
      </c>
      <c r="E3" s="6" t="s">
        <v>3159</v>
      </c>
      <c r="F3" s="6" t="s">
        <v>3160</v>
      </c>
      <c r="G3" s="6" t="s">
        <v>3161</v>
      </c>
    </row>
    <row r="4" customFormat="false" ht="15" hidden="false" customHeight="false" outlineLevel="0" collapsed="false">
      <c r="A4" s="6" t="s">
        <v>3162</v>
      </c>
      <c r="B4" s="6" t="s">
        <v>3153</v>
      </c>
      <c r="C4" s="6" t="s">
        <v>3163</v>
      </c>
      <c r="D4" s="11" t="n">
        <v>10.7639</v>
      </c>
      <c r="E4" s="6" t="s">
        <v>3164</v>
      </c>
      <c r="F4" s="6" t="s">
        <v>3160</v>
      </c>
      <c r="G4" s="6" t="s">
        <v>3161</v>
      </c>
    </row>
    <row r="5" customFormat="false" ht="15" hidden="false" customHeight="false" outlineLevel="0" collapsed="false">
      <c r="A5" s="6" t="s">
        <v>3165</v>
      </c>
      <c r="B5" s="6" t="s">
        <v>3153</v>
      </c>
      <c r="C5" s="6" t="s">
        <v>3166</v>
      </c>
      <c r="D5" s="11" t="n">
        <v>3.28084</v>
      </c>
      <c r="E5" s="6" t="s">
        <v>3167</v>
      </c>
      <c r="F5" s="6" t="s">
        <v>3160</v>
      </c>
      <c r="G5" s="6" t="s">
        <v>3161</v>
      </c>
    </row>
    <row r="6" customFormat="false" ht="15" hidden="false" customHeight="false" outlineLevel="0" collapsed="false">
      <c r="A6" s="6" t="s">
        <v>3168</v>
      </c>
      <c r="B6" s="6" t="s">
        <v>3153</v>
      </c>
      <c r="C6" s="6" t="s">
        <v>3169</v>
      </c>
      <c r="D6" s="11" t="n">
        <v>1440</v>
      </c>
      <c r="E6" s="6" t="s">
        <v>3170</v>
      </c>
      <c r="F6" s="6" t="s">
        <v>3171</v>
      </c>
      <c r="G6" s="6" t="s">
        <v>3172</v>
      </c>
    </row>
    <row r="7" customFormat="false" ht="15" hidden="false" customHeight="false" outlineLevel="0" collapsed="false">
      <c r="A7" s="6" t="s">
        <v>3173</v>
      </c>
      <c r="B7" s="6" t="s">
        <v>3153</v>
      </c>
      <c r="C7" s="6" t="s">
        <v>3174</v>
      </c>
      <c r="D7" s="11" t="n">
        <v>50</v>
      </c>
      <c r="E7" s="6" t="s">
        <v>3175</v>
      </c>
      <c r="F7" s="6" t="s">
        <v>3176</v>
      </c>
      <c r="G7" s="6" t="s">
        <v>3177</v>
      </c>
    </row>
    <row r="8" customFormat="false" ht="15" hidden="false" customHeight="false" outlineLevel="0" collapsed="false">
      <c r="A8" s="6" t="s">
        <v>3178</v>
      </c>
      <c r="B8" s="6" t="s">
        <v>3153</v>
      </c>
      <c r="C8" s="6" t="s">
        <v>3179</v>
      </c>
      <c r="D8" s="9" t="n">
        <f aca="false">$D$7/$D$6*$D$3</f>
        <v>1.22620486111111</v>
      </c>
      <c r="E8" s="6" t="s">
        <v>3180</v>
      </c>
      <c r="F8" s="6" t="s">
        <v>3181</v>
      </c>
      <c r="G8" s="6" t="s">
        <v>2486</v>
      </c>
    </row>
    <row r="9" customFormat="false" ht="15" hidden="false" customHeight="false" outlineLevel="0" collapsed="false">
      <c r="A9" s="6" t="s">
        <v>3182</v>
      </c>
      <c r="B9" s="6" t="s">
        <v>3153</v>
      </c>
      <c r="C9" s="6" t="s">
        <v>3183</v>
      </c>
      <c r="D9" s="11" t="n">
        <v>0.5</v>
      </c>
      <c r="E9" s="6" t="s">
        <v>83</v>
      </c>
      <c r="F9" s="6" t="s">
        <v>3184</v>
      </c>
      <c r="G9" s="6" t="s">
        <v>3185</v>
      </c>
    </row>
    <row r="10" customFormat="false" ht="22.35" hidden="false" customHeight="false" outlineLevel="0" collapsed="false">
      <c r="A10" s="6" t="s">
        <v>3186</v>
      </c>
      <c r="B10" s="6" t="s">
        <v>3153</v>
      </c>
      <c r="C10" s="6" t="s">
        <v>3187</v>
      </c>
      <c r="D10" s="11" t="n">
        <v>1.54</v>
      </c>
      <c r="E10" s="6" t="s">
        <v>83</v>
      </c>
      <c r="F10" s="6" t="s">
        <v>3188</v>
      </c>
      <c r="G10" s="6" t="s">
        <v>3189</v>
      </c>
    </row>
    <row r="11" customFormat="false" ht="15" hidden="false" customHeight="false" outlineLevel="0" collapsed="false">
      <c r="A11" s="6" t="s">
        <v>3190</v>
      </c>
      <c r="B11" s="6" t="s">
        <v>3153</v>
      </c>
      <c r="C11" s="6" t="s">
        <v>3191</v>
      </c>
      <c r="D11" s="11" t="n">
        <v>1.33</v>
      </c>
      <c r="E11" s="6" t="s">
        <v>83</v>
      </c>
      <c r="F11" s="6" t="s">
        <v>3192</v>
      </c>
      <c r="G11" s="6" t="s">
        <v>3172</v>
      </c>
    </row>
    <row r="12" customFormat="false" ht="15" hidden="false" customHeight="false" outlineLevel="0" collapsed="false">
      <c r="A12" s="6" t="s">
        <v>3193</v>
      </c>
      <c r="B12" s="6" t="s">
        <v>3153</v>
      </c>
      <c r="C12" s="6" t="s">
        <v>3194</v>
      </c>
      <c r="D12" s="11" t="n">
        <v>3.64</v>
      </c>
      <c r="E12" s="6" t="s">
        <v>3195</v>
      </c>
      <c r="F12" s="6" t="s">
        <v>3196</v>
      </c>
      <c r="G12" s="6" t="s">
        <v>3197</v>
      </c>
    </row>
    <row r="13" customFormat="false" ht="15" hidden="false" customHeight="false" outlineLevel="0" collapsed="false">
      <c r="A13" s="6" t="s">
        <v>3198</v>
      </c>
      <c r="B13" s="6" t="s">
        <v>493</v>
      </c>
      <c r="C13" s="6" t="s">
        <v>3199</v>
      </c>
      <c r="D13" s="11" t="n">
        <v>8.75</v>
      </c>
      <c r="E13" s="6" t="s">
        <v>3200</v>
      </c>
      <c r="F13" s="6" t="s">
        <v>3201</v>
      </c>
      <c r="G13" s="6" t="s">
        <v>3202</v>
      </c>
    </row>
    <row r="14" customFormat="false" ht="15" hidden="false" customHeight="false" outlineLevel="0" collapsed="false">
      <c r="A14" s="6" t="s">
        <v>3203</v>
      </c>
      <c r="B14" s="6" t="s">
        <v>493</v>
      </c>
      <c r="C14" s="6" t="s">
        <v>3204</v>
      </c>
      <c r="D14" s="11" t="n">
        <v>4.25</v>
      </c>
      <c r="E14" s="6" t="s">
        <v>3200</v>
      </c>
      <c r="F14" s="6"/>
      <c r="G14" s="6" t="s">
        <v>3205</v>
      </c>
    </row>
    <row r="15" customFormat="false" ht="15" hidden="false" customHeight="false" outlineLevel="0" collapsed="false">
      <c r="A15" s="6" t="s">
        <v>3206</v>
      </c>
      <c r="B15" s="6" t="s">
        <v>493</v>
      </c>
      <c r="C15" s="6" t="s">
        <v>3207</v>
      </c>
      <c r="D15" s="11" t="n">
        <v>2.75</v>
      </c>
      <c r="E15" s="6" t="s">
        <v>3200</v>
      </c>
      <c r="F15" s="6"/>
      <c r="G15" s="6" t="s">
        <v>3205</v>
      </c>
    </row>
    <row r="16" customFormat="false" ht="15" hidden="false" customHeight="false" outlineLevel="0" collapsed="false">
      <c r="A16" s="6" t="s">
        <v>3208</v>
      </c>
      <c r="B16" s="6" t="s">
        <v>493</v>
      </c>
      <c r="C16" s="6" t="s">
        <v>3209</v>
      </c>
      <c r="D16" s="11" t="n">
        <v>0.375</v>
      </c>
      <c r="E16" s="6" t="s">
        <v>3200</v>
      </c>
      <c r="F16" s="6" t="s">
        <v>3210</v>
      </c>
      <c r="G16" s="6" t="s">
        <v>3211</v>
      </c>
    </row>
    <row r="17" customFormat="false" ht="15" hidden="false" customHeight="false" outlineLevel="0" collapsed="false">
      <c r="A17" s="6" t="s">
        <v>2974</v>
      </c>
      <c r="B17" s="6" t="s">
        <v>493</v>
      </c>
      <c r="C17" s="6" t="s">
        <v>3212</v>
      </c>
      <c r="D17" s="9" t="n">
        <f aca="false">1728/(($D$13+$D$16)*($D$14+$D$16)*($D$15+$D$16))</f>
        <v>13.1023472787856</v>
      </c>
      <c r="E17" s="6" t="s">
        <v>2934</v>
      </c>
      <c r="F17" s="6" t="s">
        <v>3213</v>
      </c>
      <c r="G17" s="6" t="s">
        <v>3214</v>
      </c>
    </row>
    <row r="18" customFormat="false" ht="22.35" hidden="false" customHeight="false" outlineLevel="0" collapsed="false">
      <c r="A18" s="6" t="s">
        <v>3215</v>
      </c>
      <c r="B18" s="6" t="s">
        <v>493</v>
      </c>
      <c r="C18" s="6" t="s">
        <v>3216</v>
      </c>
      <c r="D18" s="11" t="n">
        <v>13.5</v>
      </c>
      <c r="E18" s="6" t="s">
        <v>2934</v>
      </c>
      <c r="F18" s="6" t="s">
        <v>3217</v>
      </c>
      <c r="G18" s="6" t="s">
        <v>3218</v>
      </c>
    </row>
    <row r="19" customFormat="false" ht="15" hidden="false" customHeight="false" outlineLevel="0" collapsed="false">
      <c r="A19" s="6" t="s">
        <v>2975</v>
      </c>
      <c r="B19" s="6" t="s">
        <v>493</v>
      </c>
      <c r="C19" s="6" t="s">
        <v>3219</v>
      </c>
      <c r="D19" s="9" t="n">
        <f aca="false">1-$D$17*$D$13*$D$14*$D$15/1728</f>
        <v>0.224583487597186</v>
      </c>
      <c r="E19" s="6" t="s">
        <v>2918</v>
      </c>
      <c r="F19" s="6" t="s">
        <v>3220</v>
      </c>
      <c r="G19" s="6" t="s">
        <v>3221</v>
      </c>
    </row>
    <row r="20" customFormat="false" ht="15" hidden="false" customHeight="false" outlineLevel="0" collapsed="false">
      <c r="A20" s="6" t="s">
        <v>3222</v>
      </c>
      <c r="B20" s="6" t="s">
        <v>493</v>
      </c>
      <c r="C20" s="6" t="s">
        <v>3223</v>
      </c>
      <c r="D20" s="11" t="n">
        <v>0.75</v>
      </c>
      <c r="E20" s="6" t="s">
        <v>3224</v>
      </c>
      <c r="F20" s="6"/>
      <c r="G20" s="6" t="s">
        <v>3225</v>
      </c>
    </row>
    <row r="21" customFormat="false" ht="15" hidden="false" customHeight="false" outlineLevel="0" collapsed="false">
      <c r="A21" s="6" t="s">
        <v>3226</v>
      </c>
      <c r="B21" s="6" t="s">
        <v>493</v>
      </c>
      <c r="C21" s="6" t="s">
        <v>3227</v>
      </c>
      <c r="D21" s="11" t="n">
        <v>0.375</v>
      </c>
      <c r="E21" s="6" t="s">
        <v>3224</v>
      </c>
      <c r="F21" s="6"/>
      <c r="G21" s="6" t="s">
        <v>3228</v>
      </c>
    </row>
    <row r="22" customFormat="false" ht="15" hidden="false" customHeight="false" outlineLevel="0" collapsed="false">
      <c r="A22" s="6" t="s">
        <v>2977</v>
      </c>
      <c r="B22" s="6" t="s">
        <v>493</v>
      </c>
      <c r="C22" s="6" t="s">
        <v>3229</v>
      </c>
      <c r="D22" s="9" t="n">
        <f aca="false">$D$17*$D$21</f>
        <v>4.91338022954461</v>
      </c>
      <c r="E22" s="6" t="s">
        <v>2967</v>
      </c>
      <c r="F22" s="6"/>
      <c r="G22" s="6" t="s">
        <v>2486</v>
      </c>
    </row>
    <row r="23" customFormat="false" ht="22.35" hidden="false" customHeight="false" outlineLevel="0" collapsed="false">
      <c r="A23" s="6" t="s">
        <v>2978</v>
      </c>
      <c r="B23" s="6" t="s">
        <v>493</v>
      </c>
      <c r="C23" s="6" t="s">
        <v>3230</v>
      </c>
      <c r="D23" s="9" t="n">
        <f aca="false">$D$19*$D$21</f>
        <v>0.0842188078489448</v>
      </c>
      <c r="E23" s="6" t="s">
        <v>2942</v>
      </c>
      <c r="F23" s="6"/>
      <c r="G23" s="6" t="s">
        <v>2486</v>
      </c>
    </row>
    <row r="24" customFormat="false" ht="15" hidden="false" customHeight="false" outlineLevel="0" collapsed="false">
      <c r="A24" s="6" t="s">
        <v>2983</v>
      </c>
      <c r="B24" s="6" t="s">
        <v>493</v>
      </c>
      <c r="C24" s="6" t="s">
        <v>3231</v>
      </c>
      <c r="D24" s="9" t="n">
        <f aca="false">144/(($D$13+$D$16)*($D$14+$D$16))</f>
        <v>3.41206960385043</v>
      </c>
      <c r="E24" s="6" t="s">
        <v>2967</v>
      </c>
      <c r="F24" s="6"/>
      <c r="G24" s="6" t="s">
        <v>2486</v>
      </c>
    </row>
    <row r="25" customFormat="false" ht="15" hidden="false" customHeight="false" outlineLevel="0" collapsed="false">
      <c r="A25" s="6" t="s">
        <v>2985</v>
      </c>
      <c r="B25" s="6" t="s">
        <v>493</v>
      </c>
      <c r="C25" s="6" t="s">
        <v>3232</v>
      </c>
      <c r="D25" s="11" t="n">
        <v>0.03</v>
      </c>
      <c r="E25" s="6" t="s">
        <v>2942</v>
      </c>
      <c r="F25" s="6" t="s">
        <v>2935</v>
      </c>
      <c r="G25" s="6" t="s">
        <v>3233</v>
      </c>
    </row>
    <row r="26" customFormat="false" ht="15" hidden="false" customHeight="false" outlineLevel="0" collapsed="false">
      <c r="A26" s="6" t="s">
        <v>3234</v>
      </c>
      <c r="B26" s="6" t="s">
        <v>493</v>
      </c>
      <c r="C26" s="6" t="s">
        <v>3235</v>
      </c>
      <c r="D26" s="11" t="n">
        <v>9</v>
      </c>
      <c r="E26" s="6" t="s">
        <v>3200</v>
      </c>
      <c r="F26" s="6" t="s">
        <v>3236</v>
      </c>
      <c r="G26" s="6" t="s">
        <v>3237</v>
      </c>
    </row>
    <row r="27" customFormat="false" ht="15" hidden="false" customHeight="false" outlineLevel="0" collapsed="false">
      <c r="A27" s="6" t="s">
        <v>3238</v>
      </c>
      <c r="B27" s="6" t="s">
        <v>493</v>
      </c>
      <c r="C27" s="6" t="s">
        <v>3239</v>
      </c>
      <c r="D27" s="11" t="n">
        <v>4.5</v>
      </c>
      <c r="E27" s="6" t="s">
        <v>3200</v>
      </c>
      <c r="F27" s="6"/>
      <c r="G27" s="6" t="s">
        <v>3237</v>
      </c>
    </row>
    <row r="28" customFormat="false" ht="15" hidden="false" customHeight="false" outlineLevel="0" collapsed="false">
      <c r="A28" s="6" t="s">
        <v>3004</v>
      </c>
      <c r="B28" s="6" t="s">
        <v>493</v>
      </c>
      <c r="C28" s="6" t="s">
        <v>3240</v>
      </c>
      <c r="D28" s="9" t="n">
        <f aca="false">144/(($D$26+$D$16)*($D$27+$D$16))</f>
        <v>3.15076923076923</v>
      </c>
      <c r="E28" s="6" t="s">
        <v>2967</v>
      </c>
      <c r="F28" s="6"/>
      <c r="G28" s="6" t="s">
        <v>2486</v>
      </c>
    </row>
    <row r="29" customFormat="false" ht="15" hidden="false" customHeight="false" outlineLevel="0" collapsed="false">
      <c r="A29" s="6" t="s">
        <v>2986</v>
      </c>
      <c r="B29" s="6" t="s">
        <v>493</v>
      </c>
      <c r="C29" s="6" t="s">
        <v>3241</v>
      </c>
      <c r="D29" s="9" t="n">
        <f aca="false">144/((16+$D$16)*(8+$D$16))</f>
        <v>1.05001709012191</v>
      </c>
      <c r="E29" s="6" t="s">
        <v>2967</v>
      </c>
      <c r="F29" s="6"/>
      <c r="G29" s="6" t="s">
        <v>2486</v>
      </c>
    </row>
    <row r="30" customFormat="false" ht="15" hidden="false" customHeight="false" outlineLevel="0" collapsed="false">
      <c r="A30" s="6" t="s">
        <v>2987</v>
      </c>
      <c r="B30" s="6" t="s">
        <v>493</v>
      </c>
      <c r="C30" s="6" t="s">
        <v>3242</v>
      </c>
      <c r="D30" s="11" t="n">
        <v>0.025</v>
      </c>
      <c r="E30" s="6" t="s">
        <v>2942</v>
      </c>
      <c r="F30" s="6" t="s">
        <v>3243</v>
      </c>
      <c r="G30" s="6" t="s">
        <v>3233</v>
      </c>
    </row>
    <row r="31" customFormat="false" ht="15" hidden="false" customHeight="false" outlineLevel="0" collapsed="false">
      <c r="A31" s="6" t="s">
        <v>2980</v>
      </c>
      <c r="B31" s="6" t="s">
        <v>493</v>
      </c>
      <c r="C31" s="6" t="s">
        <v>3244</v>
      </c>
      <c r="D31" s="11" t="n">
        <v>0.1</v>
      </c>
      <c r="E31" s="6" t="s">
        <v>2990</v>
      </c>
      <c r="F31" s="6" t="s">
        <v>3245</v>
      </c>
      <c r="G31" s="6" t="s">
        <v>2935</v>
      </c>
    </row>
    <row r="32" customFormat="false" ht="15" hidden="false" customHeight="false" outlineLevel="0" collapsed="false">
      <c r="A32" s="6" t="s">
        <v>3246</v>
      </c>
      <c r="B32" s="6" t="s">
        <v>2663</v>
      </c>
      <c r="C32" s="6" t="s">
        <v>3247</v>
      </c>
      <c r="D32" s="11" t="n">
        <v>0.5</v>
      </c>
      <c r="E32" s="6" t="s">
        <v>3200</v>
      </c>
      <c r="F32" s="6"/>
      <c r="G32" s="6" t="s">
        <v>3248</v>
      </c>
    </row>
    <row r="33" customFormat="false" ht="15" hidden="false" customHeight="false" outlineLevel="0" collapsed="false">
      <c r="A33" s="6" t="s">
        <v>3249</v>
      </c>
      <c r="B33" s="6" t="s">
        <v>2663</v>
      </c>
      <c r="C33" s="6" t="s">
        <v>3250</v>
      </c>
      <c r="D33" s="11" t="n">
        <v>0.75</v>
      </c>
      <c r="E33" s="6" t="s">
        <v>3200</v>
      </c>
      <c r="F33" s="6"/>
      <c r="G33" s="6" t="s">
        <v>3251</v>
      </c>
    </row>
    <row r="34" customFormat="false" ht="15" hidden="false" customHeight="false" outlineLevel="0" collapsed="false">
      <c r="A34" s="6" t="s">
        <v>3252</v>
      </c>
      <c r="B34" s="6" t="s">
        <v>2663</v>
      </c>
      <c r="C34" s="6" t="s">
        <v>3253</v>
      </c>
      <c r="D34" s="11" t="n">
        <v>0.375</v>
      </c>
      <c r="E34" s="6" t="s">
        <v>3200</v>
      </c>
      <c r="F34" s="6"/>
      <c r="G34" s="6" t="s">
        <v>3248</v>
      </c>
    </row>
    <row r="35" customFormat="false" ht="15" hidden="false" customHeight="false" outlineLevel="0" collapsed="false">
      <c r="A35" s="6" t="s">
        <v>3254</v>
      </c>
      <c r="B35" s="6" t="s">
        <v>2663</v>
      </c>
      <c r="C35" s="6" t="s">
        <v>3255</v>
      </c>
      <c r="D35" s="11" t="n">
        <v>0.2</v>
      </c>
      <c r="E35" s="6" t="s">
        <v>83</v>
      </c>
      <c r="F35" s="6"/>
      <c r="G35" s="6" t="s">
        <v>3256</v>
      </c>
    </row>
    <row r="36" customFormat="false" ht="15" hidden="false" customHeight="false" outlineLevel="0" collapsed="false">
      <c r="A36" s="6" t="s">
        <v>2988</v>
      </c>
      <c r="B36" s="6" t="s">
        <v>2663</v>
      </c>
      <c r="C36" s="6" t="s">
        <v>3257</v>
      </c>
      <c r="D36" s="9" t="n">
        <f aca="false">$D$32/12*(1+$D$35)</f>
        <v>0.05</v>
      </c>
      <c r="E36" s="6" t="s">
        <v>2942</v>
      </c>
      <c r="F36" s="6"/>
      <c r="G36" s="6" t="s">
        <v>2486</v>
      </c>
    </row>
    <row r="37" customFormat="false" ht="15" hidden="false" customHeight="false" outlineLevel="0" collapsed="false">
      <c r="A37" s="6" t="s">
        <v>2991</v>
      </c>
      <c r="B37" s="6" t="s">
        <v>2663</v>
      </c>
      <c r="C37" s="6" t="s">
        <v>3258</v>
      </c>
      <c r="D37" s="9" t="n">
        <f aca="false">$D$33/12*(1+$D$35)</f>
        <v>0.075</v>
      </c>
      <c r="E37" s="6" t="s">
        <v>2942</v>
      </c>
      <c r="F37" s="6"/>
      <c r="G37" s="6" t="s">
        <v>2486</v>
      </c>
    </row>
    <row r="38" customFormat="false" ht="15" hidden="false" customHeight="false" outlineLevel="0" collapsed="false">
      <c r="A38" s="6" t="s">
        <v>2992</v>
      </c>
      <c r="B38" s="6" t="s">
        <v>2663</v>
      </c>
      <c r="C38" s="6" t="s">
        <v>3259</v>
      </c>
      <c r="D38" s="9" t="n">
        <f aca="false">$D$34/12*(1+$D$35)</f>
        <v>0.0375</v>
      </c>
      <c r="E38" s="6" t="s">
        <v>2942</v>
      </c>
      <c r="F38" s="6"/>
      <c r="G38" s="6" t="s">
        <v>2486</v>
      </c>
    </row>
    <row r="39" customFormat="false" ht="15" hidden="false" customHeight="false" outlineLevel="0" collapsed="false">
      <c r="A39" s="6" t="s">
        <v>2989</v>
      </c>
      <c r="B39" s="6" t="s">
        <v>2663</v>
      </c>
      <c r="C39" s="6" t="s">
        <v>3260</v>
      </c>
      <c r="D39" s="11" t="n">
        <v>0.05</v>
      </c>
      <c r="E39" s="6" t="s">
        <v>2990</v>
      </c>
      <c r="F39" s="6" t="s">
        <v>3261</v>
      </c>
      <c r="G39" s="6" t="s">
        <v>2935</v>
      </c>
    </row>
    <row r="40" customFormat="false" ht="15" hidden="false" customHeight="false" outlineLevel="0" collapsed="false">
      <c r="A40" s="6" t="s">
        <v>3262</v>
      </c>
      <c r="B40" s="6" t="s">
        <v>2704</v>
      </c>
      <c r="C40" s="6" t="s">
        <v>3263</v>
      </c>
      <c r="D40" s="11" t="n">
        <v>1</v>
      </c>
      <c r="E40" s="6" t="s">
        <v>3200</v>
      </c>
      <c r="F40" s="6" t="s">
        <v>3264</v>
      </c>
      <c r="G40" s="6" t="s">
        <v>3265</v>
      </c>
    </row>
    <row r="41" customFormat="false" ht="15" hidden="false" customHeight="false" outlineLevel="0" collapsed="false">
      <c r="A41" s="6" t="s">
        <v>3012</v>
      </c>
      <c r="B41" s="6" t="s">
        <v>2704</v>
      </c>
      <c r="C41" s="6" t="s">
        <v>3266</v>
      </c>
      <c r="D41" s="9" t="n">
        <f aca="false">$D$40/12</f>
        <v>0.0833333333333333</v>
      </c>
      <c r="E41" s="6" t="s">
        <v>2942</v>
      </c>
      <c r="F41" s="6"/>
      <c r="G41" s="6" t="s">
        <v>2486</v>
      </c>
    </row>
    <row r="42" customFormat="false" ht="15" hidden="false" customHeight="false" outlineLevel="0" collapsed="false">
      <c r="A42" s="6" t="s">
        <v>3267</v>
      </c>
      <c r="B42" s="6" t="s">
        <v>1624</v>
      </c>
      <c r="C42" s="6" t="s">
        <v>3268</v>
      </c>
      <c r="D42" s="11" t="n">
        <v>1.5</v>
      </c>
      <c r="E42" s="6" t="s">
        <v>3200</v>
      </c>
      <c r="F42" s="6"/>
      <c r="G42" s="6" t="s">
        <v>2583</v>
      </c>
    </row>
    <row r="43" customFormat="false" ht="15" hidden="false" customHeight="false" outlineLevel="0" collapsed="false">
      <c r="A43" s="6" t="s">
        <v>2939</v>
      </c>
      <c r="B43" s="6" t="s">
        <v>1624</v>
      </c>
      <c r="C43" s="6" t="s">
        <v>3269</v>
      </c>
      <c r="D43" s="9" t="n">
        <f aca="false">$D$42/12</f>
        <v>0.125</v>
      </c>
      <c r="E43" s="6" t="s">
        <v>2942</v>
      </c>
      <c r="F43" s="6"/>
      <c r="G43" s="6" t="s">
        <v>2486</v>
      </c>
    </row>
    <row r="44" customFormat="false" ht="15" hidden="false" customHeight="false" outlineLevel="0" collapsed="false">
      <c r="A44" s="6" t="s">
        <v>3270</v>
      </c>
      <c r="B44" s="6" t="s">
        <v>1624</v>
      </c>
      <c r="C44" s="6" t="s">
        <v>3271</v>
      </c>
      <c r="D44" s="11" t="n">
        <v>0.14</v>
      </c>
      <c r="E44" s="6" t="s">
        <v>3272</v>
      </c>
      <c r="F44" s="6" t="s">
        <v>3273</v>
      </c>
      <c r="G44" s="6" t="s">
        <v>3233</v>
      </c>
    </row>
    <row r="45" customFormat="false" ht="15" hidden="false" customHeight="false" outlineLevel="0" collapsed="false">
      <c r="A45" s="6" t="s">
        <v>3274</v>
      </c>
      <c r="B45" s="6" t="s">
        <v>1624</v>
      </c>
      <c r="C45" s="6" t="s">
        <v>3275</v>
      </c>
      <c r="D45" s="11" t="n">
        <v>2</v>
      </c>
      <c r="E45" s="6" t="s">
        <v>3276</v>
      </c>
      <c r="F45" s="6"/>
      <c r="G45" s="6" t="s">
        <v>3277</v>
      </c>
    </row>
    <row r="46" customFormat="false" ht="15" hidden="false" customHeight="false" outlineLevel="0" collapsed="false">
      <c r="A46" s="6" t="s">
        <v>2943</v>
      </c>
      <c r="B46" s="6" t="s">
        <v>1624</v>
      </c>
      <c r="C46" s="6" t="s">
        <v>3278</v>
      </c>
      <c r="D46" s="9" t="n">
        <f aca="false">$D$44*$D$45</f>
        <v>0.28</v>
      </c>
      <c r="E46" s="6" t="s">
        <v>2944</v>
      </c>
      <c r="F46" s="6"/>
      <c r="G46" s="6" t="s">
        <v>2486</v>
      </c>
    </row>
    <row r="47" customFormat="false" ht="15" hidden="false" customHeight="false" outlineLevel="0" collapsed="false">
      <c r="A47" s="6" t="s">
        <v>3279</v>
      </c>
      <c r="B47" s="6" t="s">
        <v>1624</v>
      </c>
      <c r="C47" s="6" t="s">
        <v>3280</v>
      </c>
      <c r="D47" s="11" t="n">
        <v>0.15</v>
      </c>
      <c r="E47" s="6" t="s">
        <v>83</v>
      </c>
      <c r="F47" s="6"/>
      <c r="G47" s="6" t="s">
        <v>2935</v>
      </c>
    </row>
    <row r="48" customFormat="false" ht="15" hidden="false" customHeight="false" outlineLevel="0" collapsed="false">
      <c r="A48" s="6" t="s">
        <v>3281</v>
      </c>
      <c r="B48" s="6" t="s">
        <v>1624</v>
      </c>
      <c r="C48" s="6" t="s">
        <v>3282</v>
      </c>
      <c r="D48" s="11" t="n">
        <v>2</v>
      </c>
      <c r="E48" s="6" t="s">
        <v>3283</v>
      </c>
      <c r="F48" s="6"/>
      <c r="G48" s="6" t="s">
        <v>3284</v>
      </c>
    </row>
    <row r="49" customFormat="false" ht="15" hidden="false" customHeight="false" outlineLevel="0" collapsed="false">
      <c r="A49" s="6" t="s">
        <v>2946</v>
      </c>
      <c r="B49" s="6" t="s">
        <v>1624</v>
      </c>
      <c r="C49" s="6" t="s">
        <v>3285</v>
      </c>
      <c r="D49" s="9" t="n">
        <f aca="false">$D$48*(1+$D$47)</f>
        <v>2.3</v>
      </c>
      <c r="E49" s="6" t="s">
        <v>2925</v>
      </c>
      <c r="F49" s="6"/>
      <c r="G49" s="6" t="s">
        <v>2486</v>
      </c>
    </row>
    <row r="50" customFormat="false" ht="22.35" hidden="false" customHeight="false" outlineLevel="0" collapsed="false">
      <c r="A50" s="6" t="s">
        <v>3286</v>
      </c>
      <c r="B50" s="6" t="s">
        <v>1624</v>
      </c>
      <c r="C50" s="6" t="s">
        <v>3287</v>
      </c>
      <c r="D50" s="11" t="n">
        <v>1</v>
      </c>
      <c r="E50" s="6" t="s">
        <v>3175</v>
      </c>
      <c r="F50" s="6" t="s">
        <v>3288</v>
      </c>
      <c r="G50" s="6" t="s">
        <v>3289</v>
      </c>
    </row>
    <row r="51" customFormat="false" ht="15" hidden="false" customHeight="false" outlineLevel="0" collapsed="false">
      <c r="A51" s="6" t="s">
        <v>2948</v>
      </c>
      <c r="B51" s="6" t="s">
        <v>1624</v>
      </c>
      <c r="C51" s="6" t="s">
        <v>3290</v>
      </c>
      <c r="D51" s="9" t="n">
        <f aca="false">$D$43*Mix_Design!$J$6*$D$50</f>
        <v>0.0224269213670228</v>
      </c>
      <c r="E51" s="6" t="s">
        <v>2944</v>
      </c>
      <c r="F51" s="6"/>
      <c r="G51" s="6" t="s">
        <v>2486</v>
      </c>
    </row>
    <row r="52" customFormat="false" ht="15" hidden="false" customHeight="false" outlineLevel="0" collapsed="false">
      <c r="A52" s="6" t="s">
        <v>3291</v>
      </c>
      <c r="B52" s="6" t="s">
        <v>1624</v>
      </c>
      <c r="C52" s="6" t="s">
        <v>3292</v>
      </c>
      <c r="D52" s="11" t="n">
        <v>2</v>
      </c>
      <c r="E52" s="6" t="s">
        <v>3276</v>
      </c>
      <c r="F52" s="6"/>
      <c r="G52" s="6" t="s">
        <v>3293</v>
      </c>
    </row>
    <row r="53" customFormat="false" ht="15" hidden="false" customHeight="false" outlineLevel="0" collapsed="false">
      <c r="A53" s="6" t="s">
        <v>2996</v>
      </c>
      <c r="B53" s="6" t="s">
        <v>1624</v>
      </c>
      <c r="C53" s="6" t="s">
        <v>3294</v>
      </c>
      <c r="D53" s="9" t="n">
        <f aca="false">$D$44*$D$52</f>
        <v>0.28</v>
      </c>
      <c r="E53" s="6" t="s">
        <v>2944</v>
      </c>
      <c r="F53" s="6"/>
      <c r="G53" s="6" t="s">
        <v>2486</v>
      </c>
    </row>
    <row r="54" customFormat="false" ht="15" hidden="false" customHeight="false" outlineLevel="0" collapsed="false">
      <c r="A54" s="6" t="s">
        <v>2924</v>
      </c>
      <c r="B54" s="6" t="s">
        <v>1624</v>
      </c>
      <c r="C54" s="6" t="s">
        <v>3295</v>
      </c>
      <c r="D54" s="9" t="n">
        <f aca="false">1+$D$47</f>
        <v>1.15</v>
      </c>
      <c r="E54" s="6" t="s">
        <v>2925</v>
      </c>
      <c r="F54" s="6"/>
      <c r="G54" s="6" t="s">
        <v>2486</v>
      </c>
    </row>
    <row r="55" customFormat="false" ht="15" hidden="false" customHeight="false" outlineLevel="0" collapsed="false">
      <c r="A55" s="6" t="s">
        <v>3296</v>
      </c>
      <c r="B55" s="6" t="s">
        <v>1624</v>
      </c>
      <c r="C55" s="6" t="s">
        <v>3297</v>
      </c>
      <c r="D55" s="11" t="n">
        <v>4</v>
      </c>
      <c r="E55" s="6" t="s">
        <v>3200</v>
      </c>
      <c r="F55" s="6" t="s">
        <v>3298</v>
      </c>
      <c r="G55" s="6" t="s">
        <v>3265</v>
      </c>
    </row>
    <row r="56" customFormat="false" ht="15" hidden="false" customHeight="false" outlineLevel="0" collapsed="false">
      <c r="A56" s="6" t="s">
        <v>3000</v>
      </c>
      <c r="B56" s="6" t="s">
        <v>1624</v>
      </c>
      <c r="C56" s="6" t="s">
        <v>3299</v>
      </c>
      <c r="D56" s="9" t="n">
        <f aca="false">$D$55/12*1.2</f>
        <v>0.4</v>
      </c>
      <c r="E56" s="6" t="s">
        <v>2942</v>
      </c>
      <c r="F56" s="6"/>
      <c r="G56" s="6" t="s">
        <v>2486</v>
      </c>
    </row>
    <row r="57" customFormat="false" ht="15" hidden="false" customHeight="false" outlineLevel="0" collapsed="false">
      <c r="A57" s="6" t="s">
        <v>3300</v>
      </c>
      <c r="B57" s="6" t="s">
        <v>1624</v>
      </c>
      <c r="C57" s="6" t="s">
        <v>3301</v>
      </c>
      <c r="D57" s="11" t="n">
        <v>1</v>
      </c>
      <c r="E57" s="6" t="s">
        <v>3200</v>
      </c>
      <c r="F57" s="6"/>
      <c r="G57" s="6" t="s">
        <v>3265</v>
      </c>
    </row>
    <row r="58" customFormat="false" ht="15" hidden="false" customHeight="false" outlineLevel="0" collapsed="false">
      <c r="A58" s="6" t="s">
        <v>3001</v>
      </c>
      <c r="B58" s="6" t="s">
        <v>1624</v>
      </c>
      <c r="C58" s="6" t="s">
        <v>3302</v>
      </c>
      <c r="D58" s="9" t="n">
        <f aca="false">$D$57/12*1.2</f>
        <v>0.1</v>
      </c>
      <c r="E58" s="6" t="s">
        <v>2942</v>
      </c>
      <c r="F58" s="6"/>
      <c r="G58" s="6" t="s">
        <v>2486</v>
      </c>
    </row>
    <row r="59" customFormat="false" ht="15" hidden="false" customHeight="false" outlineLevel="0" collapsed="false">
      <c r="A59" s="6" t="s">
        <v>3003</v>
      </c>
      <c r="B59" s="6" t="s">
        <v>1624</v>
      </c>
      <c r="C59" s="6" t="s">
        <v>3303</v>
      </c>
      <c r="D59" s="11" t="n">
        <v>0.05</v>
      </c>
      <c r="E59" s="6" t="s">
        <v>2944</v>
      </c>
      <c r="F59" s="6" t="s">
        <v>2935</v>
      </c>
      <c r="G59" s="6" t="s">
        <v>3304</v>
      </c>
    </row>
    <row r="60" customFormat="false" ht="15" hidden="false" customHeight="false" outlineLevel="0" collapsed="false">
      <c r="A60" s="6" t="s">
        <v>3305</v>
      </c>
      <c r="B60" s="6" t="s">
        <v>1624</v>
      </c>
      <c r="C60" s="6" t="s">
        <v>3306</v>
      </c>
      <c r="D60" s="11" t="n">
        <v>0.5</v>
      </c>
      <c r="E60" s="6" t="s">
        <v>3200</v>
      </c>
      <c r="F60" s="6"/>
      <c r="G60" s="6" t="s">
        <v>3265</v>
      </c>
    </row>
    <row r="61" customFormat="false" ht="15" hidden="false" customHeight="false" outlineLevel="0" collapsed="false">
      <c r="A61" s="6" t="s">
        <v>3005</v>
      </c>
      <c r="B61" s="6" t="s">
        <v>1624</v>
      </c>
      <c r="C61" s="6" t="s">
        <v>3307</v>
      </c>
      <c r="D61" s="9" t="n">
        <f aca="false">$D$60/12*(1+$D$35)</f>
        <v>0.05</v>
      </c>
      <c r="E61" s="6" t="s">
        <v>2942</v>
      </c>
      <c r="F61" s="6"/>
      <c r="G61" s="6" t="s">
        <v>2486</v>
      </c>
    </row>
    <row r="62" customFormat="false" ht="15" hidden="false" customHeight="false" outlineLevel="0" collapsed="false">
      <c r="A62" s="6" t="s">
        <v>3308</v>
      </c>
      <c r="B62" s="6" t="s">
        <v>1624</v>
      </c>
      <c r="C62" s="6" t="s">
        <v>3309</v>
      </c>
      <c r="D62" s="11" t="n">
        <v>2</v>
      </c>
      <c r="E62" s="6" t="s">
        <v>3200</v>
      </c>
      <c r="F62" s="6" t="s">
        <v>3310</v>
      </c>
      <c r="G62" s="6" t="s">
        <v>3311</v>
      </c>
    </row>
    <row r="63" customFormat="false" ht="15" hidden="false" customHeight="false" outlineLevel="0" collapsed="false">
      <c r="A63" s="6" t="s">
        <v>3008</v>
      </c>
      <c r="B63" s="6" t="s">
        <v>1624</v>
      </c>
      <c r="C63" s="6" t="s">
        <v>3312</v>
      </c>
      <c r="D63" s="9" t="n">
        <f aca="false">$D$62/12</f>
        <v>0.166666666666667</v>
      </c>
      <c r="E63" s="6" t="s">
        <v>2942</v>
      </c>
      <c r="F63" s="6"/>
      <c r="G63" s="6" t="s">
        <v>2486</v>
      </c>
    </row>
    <row r="64" customFormat="false" ht="15" hidden="false" customHeight="false" outlineLevel="0" collapsed="false">
      <c r="A64" s="6" t="s">
        <v>3010</v>
      </c>
      <c r="B64" s="6" t="s">
        <v>1624</v>
      </c>
      <c r="C64" s="6" t="s">
        <v>3313</v>
      </c>
      <c r="D64" s="11" t="n">
        <v>0.18</v>
      </c>
      <c r="E64" s="6" t="s">
        <v>2944</v>
      </c>
      <c r="F64" s="6" t="s">
        <v>3314</v>
      </c>
      <c r="G64" s="6" t="s">
        <v>3289</v>
      </c>
    </row>
    <row r="65" customFormat="false" ht="15" hidden="false" customHeight="false" outlineLevel="0" collapsed="false">
      <c r="A65" s="6" t="s">
        <v>3315</v>
      </c>
      <c r="B65" s="6" t="s">
        <v>567</v>
      </c>
      <c r="C65" s="6" t="s">
        <v>3316</v>
      </c>
      <c r="D65" s="11" t="n">
        <v>3</v>
      </c>
      <c r="E65" s="6" t="s">
        <v>3200</v>
      </c>
      <c r="F65" s="6"/>
      <c r="G65" s="6" t="s">
        <v>3265</v>
      </c>
    </row>
    <row r="66" customFormat="false" ht="15" hidden="false" customHeight="false" outlineLevel="0" collapsed="false">
      <c r="A66" s="6" t="s">
        <v>2949</v>
      </c>
      <c r="B66" s="6" t="s">
        <v>567</v>
      </c>
      <c r="C66" s="6" t="s">
        <v>3317</v>
      </c>
      <c r="D66" s="9" t="n">
        <f aca="false">$D$65/12</f>
        <v>0.25</v>
      </c>
      <c r="E66" s="6" t="s">
        <v>2942</v>
      </c>
      <c r="F66" s="6"/>
      <c r="G66" s="6" t="s">
        <v>2486</v>
      </c>
    </row>
    <row r="67" customFormat="false" ht="15" hidden="false" customHeight="false" outlineLevel="0" collapsed="false">
      <c r="A67" s="6" t="s">
        <v>2917</v>
      </c>
      <c r="B67" s="6" t="s">
        <v>2465</v>
      </c>
      <c r="C67" s="6" t="s">
        <v>3318</v>
      </c>
      <c r="D67" s="11" t="n">
        <v>1.2</v>
      </c>
      <c r="E67" s="6" t="s">
        <v>83</v>
      </c>
      <c r="F67" s="6" t="s">
        <v>3319</v>
      </c>
      <c r="G67" s="6" t="s">
        <v>3320</v>
      </c>
    </row>
    <row r="68" customFormat="false" ht="15" hidden="false" customHeight="false" outlineLevel="0" collapsed="false">
      <c r="A68" s="6" t="s">
        <v>2920</v>
      </c>
      <c r="B68" s="6" t="s">
        <v>2465</v>
      </c>
      <c r="C68" s="6" t="s">
        <v>3321</v>
      </c>
      <c r="D68" s="11" t="n">
        <v>1.15</v>
      </c>
      <c r="E68" s="6" t="s">
        <v>83</v>
      </c>
      <c r="F68" s="6"/>
      <c r="G68" s="6" t="s">
        <v>3320</v>
      </c>
    </row>
    <row r="69" customFormat="false" ht="15" hidden="false" customHeight="false" outlineLevel="0" collapsed="false">
      <c r="A69" s="6" t="s">
        <v>2921</v>
      </c>
      <c r="B69" s="6" t="s">
        <v>2465</v>
      </c>
      <c r="C69" s="6" t="s">
        <v>3322</v>
      </c>
      <c r="D69" s="11" t="n">
        <v>0.025</v>
      </c>
      <c r="E69" s="6" t="s">
        <v>2922</v>
      </c>
      <c r="F69" s="6" t="s">
        <v>3323</v>
      </c>
      <c r="G69" s="6" t="s">
        <v>3324</v>
      </c>
    </row>
    <row r="70" customFormat="false" ht="15" hidden="false" customHeight="false" outlineLevel="0" collapsed="false">
      <c r="A70" s="6" t="s">
        <v>3325</v>
      </c>
      <c r="B70" s="6" t="s">
        <v>3326</v>
      </c>
      <c r="C70" s="6" t="s">
        <v>3327</v>
      </c>
      <c r="D70" s="11" t="n">
        <v>80</v>
      </c>
      <c r="E70" s="6" t="s">
        <v>3170</v>
      </c>
      <c r="F70" s="6" t="s">
        <v>3328</v>
      </c>
      <c r="G70" s="6" t="s">
        <v>3329</v>
      </c>
    </row>
    <row r="71" customFormat="false" ht="15" hidden="false" customHeight="false" outlineLevel="0" collapsed="false">
      <c r="A71" s="6" t="s">
        <v>3330</v>
      </c>
      <c r="B71" s="6" t="s">
        <v>3326</v>
      </c>
      <c r="C71" s="6" t="s">
        <v>3331</v>
      </c>
      <c r="D71" s="11" t="n">
        <v>170</v>
      </c>
      <c r="E71" s="6" t="s">
        <v>3170</v>
      </c>
      <c r="F71" s="6"/>
      <c r="G71" s="6" t="s">
        <v>3332</v>
      </c>
    </row>
    <row r="72" customFormat="false" ht="15" hidden="false" customHeight="false" outlineLevel="0" collapsed="false">
      <c r="A72" s="6" t="s">
        <v>3333</v>
      </c>
      <c r="B72" s="6" t="s">
        <v>3326</v>
      </c>
      <c r="C72" s="6" t="s">
        <v>3334</v>
      </c>
      <c r="D72" s="11" t="n">
        <v>135</v>
      </c>
      <c r="E72" s="6" t="s">
        <v>3170</v>
      </c>
      <c r="F72" s="6"/>
      <c r="G72" s="6" t="s">
        <v>3335</v>
      </c>
    </row>
    <row r="73" customFormat="false" ht="15" hidden="false" customHeight="false" outlineLevel="0" collapsed="false">
      <c r="A73" s="6" t="s">
        <v>3336</v>
      </c>
      <c r="B73" s="6" t="s">
        <v>3326</v>
      </c>
      <c r="C73" s="6" t="s">
        <v>3337</v>
      </c>
      <c r="D73" s="11" t="n">
        <v>85</v>
      </c>
      <c r="E73" s="6" t="s">
        <v>3170</v>
      </c>
      <c r="F73" s="6"/>
      <c r="G73" s="6" t="s">
        <v>3338</v>
      </c>
    </row>
    <row r="74" customFormat="false" ht="15" hidden="false" customHeight="false" outlineLevel="0" collapsed="false">
      <c r="A74" s="6" t="s">
        <v>3339</v>
      </c>
      <c r="B74" s="6" t="s">
        <v>3326</v>
      </c>
      <c r="C74" s="6" t="s">
        <v>3340</v>
      </c>
      <c r="D74" s="11" t="n">
        <v>100</v>
      </c>
      <c r="E74" s="6" t="s">
        <v>3170</v>
      </c>
      <c r="F74" s="6"/>
      <c r="G74" s="6" t="s">
        <v>3341</v>
      </c>
    </row>
    <row r="75" customFormat="false" ht="15" hidden="false" customHeight="false" outlineLevel="0" collapsed="false">
      <c r="A75" s="6" t="s">
        <v>3342</v>
      </c>
      <c r="B75" s="6" t="s">
        <v>3326</v>
      </c>
      <c r="C75" s="6" t="s">
        <v>3343</v>
      </c>
      <c r="D75" s="11" t="n">
        <v>80</v>
      </c>
      <c r="E75" s="6" t="s">
        <v>3170</v>
      </c>
      <c r="F75" s="6"/>
      <c r="G75" s="6" t="s">
        <v>3341</v>
      </c>
    </row>
    <row r="76" customFormat="false" ht="15" hidden="false" customHeight="false" outlineLevel="0" collapsed="false">
      <c r="A76" s="6" t="s">
        <v>3344</v>
      </c>
      <c r="B76" s="6" t="s">
        <v>3326</v>
      </c>
      <c r="C76" s="6" t="s">
        <v>3345</v>
      </c>
      <c r="D76" s="11" t="n">
        <v>120</v>
      </c>
      <c r="E76" s="6" t="s">
        <v>3170</v>
      </c>
      <c r="F76" s="6"/>
      <c r="G76" s="6" t="s">
        <v>3341</v>
      </c>
    </row>
    <row r="77" customFormat="false" ht="15" hidden="false" customHeight="false" outlineLevel="0" collapsed="false">
      <c r="A77" s="6" t="s">
        <v>3346</v>
      </c>
      <c r="B77" s="6" t="s">
        <v>3326</v>
      </c>
      <c r="C77" s="6" t="s">
        <v>3347</v>
      </c>
      <c r="D77" s="11" t="n">
        <v>110</v>
      </c>
      <c r="E77" s="6" t="s">
        <v>3170</v>
      </c>
      <c r="F77" s="6" t="s">
        <v>3348</v>
      </c>
      <c r="G77" s="6" t="s">
        <v>3349</v>
      </c>
    </row>
    <row r="78" customFormat="false" ht="15" hidden="false" customHeight="false" outlineLevel="0" collapsed="false">
      <c r="A78" s="6" t="s">
        <v>3350</v>
      </c>
      <c r="B78" s="6" t="s">
        <v>3326</v>
      </c>
      <c r="C78" s="6" t="s">
        <v>3351</v>
      </c>
      <c r="D78" s="9" t="n">
        <f aca="false">$D$70/$D$3</f>
        <v>2.26534559262857</v>
      </c>
      <c r="E78" s="6" t="s">
        <v>2937</v>
      </c>
      <c r="F78" s="6"/>
      <c r="G78" s="6" t="s">
        <v>2486</v>
      </c>
    </row>
    <row r="79" customFormat="false" ht="15" hidden="false" customHeight="false" outlineLevel="0" collapsed="false">
      <c r="A79" s="6" t="s">
        <v>3352</v>
      </c>
      <c r="B79" s="6" t="s">
        <v>3326</v>
      </c>
      <c r="C79" s="6" t="s">
        <v>3353</v>
      </c>
      <c r="D79" s="9" t="n">
        <f aca="false">$D$71/$D$3</f>
        <v>4.8138593843357</v>
      </c>
      <c r="E79" s="6" t="s">
        <v>2937</v>
      </c>
      <c r="F79" s="6"/>
      <c r="G79" s="6" t="s">
        <v>2486</v>
      </c>
    </row>
    <row r="80" customFormat="false" ht="15" hidden="false" customHeight="false" outlineLevel="0" collapsed="false">
      <c r="A80" s="6" t="s">
        <v>3354</v>
      </c>
      <c r="B80" s="6" t="s">
        <v>3326</v>
      </c>
      <c r="C80" s="6" t="s">
        <v>3355</v>
      </c>
      <c r="D80" s="9" t="n">
        <f aca="false">$D$72/$D$3</f>
        <v>3.8227706875607</v>
      </c>
      <c r="E80" s="6" t="s">
        <v>2937</v>
      </c>
      <c r="F80" s="6"/>
      <c r="G80" s="6" t="s">
        <v>2486</v>
      </c>
    </row>
    <row r="81" customFormat="false" ht="15" hidden="false" customHeight="false" outlineLevel="0" collapsed="false">
      <c r="A81" s="6" t="s">
        <v>3356</v>
      </c>
      <c r="B81" s="6" t="s">
        <v>3326</v>
      </c>
      <c r="C81" s="6" t="s">
        <v>3357</v>
      </c>
      <c r="D81" s="9" t="n">
        <f aca="false">$D$73/$D$3</f>
        <v>2.40692969216785</v>
      </c>
      <c r="E81" s="6" t="s">
        <v>2937</v>
      </c>
      <c r="F81" s="6"/>
      <c r="G81" s="6" t="s">
        <v>2486</v>
      </c>
    </row>
    <row r="82" customFormat="false" ht="15" hidden="false" customHeight="false" outlineLevel="0" collapsed="false">
      <c r="A82" s="6" t="s">
        <v>3358</v>
      </c>
      <c r="B82" s="6" t="s">
        <v>3326</v>
      </c>
      <c r="C82" s="6" t="s">
        <v>3359</v>
      </c>
      <c r="D82" s="9" t="n">
        <f aca="false">$D$74/$D$3</f>
        <v>2.83168199078571</v>
      </c>
      <c r="E82" s="6" t="s">
        <v>2937</v>
      </c>
      <c r="F82" s="6"/>
      <c r="G82" s="6" t="s">
        <v>2486</v>
      </c>
    </row>
    <row r="83" customFormat="false" ht="15" hidden="false" customHeight="false" outlineLevel="0" collapsed="false">
      <c r="A83" s="6" t="s">
        <v>3360</v>
      </c>
      <c r="B83" s="6" t="s">
        <v>3326</v>
      </c>
      <c r="C83" s="6" t="s">
        <v>3361</v>
      </c>
      <c r="D83" s="9" t="n">
        <f aca="false">$D$75/$D$3</f>
        <v>2.26534559262857</v>
      </c>
      <c r="E83" s="6" t="s">
        <v>2937</v>
      </c>
      <c r="F83" s="6"/>
      <c r="G83" s="6" t="s">
        <v>2486</v>
      </c>
    </row>
    <row r="84" customFormat="false" ht="15" hidden="false" customHeight="false" outlineLevel="0" collapsed="false">
      <c r="A84" s="6" t="s">
        <v>3362</v>
      </c>
      <c r="B84" s="6" t="s">
        <v>3326</v>
      </c>
      <c r="C84" s="6" t="s">
        <v>3363</v>
      </c>
      <c r="D84" s="9" t="n">
        <f aca="false">$D$76/$D$3</f>
        <v>3.39801838894285</v>
      </c>
      <c r="E84" s="6" t="s">
        <v>2937</v>
      </c>
      <c r="F84" s="6"/>
      <c r="G84" s="6" t="s">
        <v>2486</v>
      </c>
    </row>
    <row r="85" customFormat="false" ht="15" hidden="false" customHeight="false" outlineLevel="0" collapsed="false">
      <c r="A85" s="6" t="s">
        <v>3364</v>
      </c>
      <c r="B85" s="6" t="s">
        <v>3326</v>
      </c>
      <c r="C85" s="6" t="s">
        <v>3365</v>
      </c>
      <c r="D85" s="9" t="n">
        <f aca="false">$D$77/$D$3</f>
        <v>3.11485018986428</v>
      </c>
      <c r="E85" s="6" t="s">
        <v>2937</v>
      </c>
      <c r="F85" s="6"/>
      <c r="G85" s="6" t="s">
        <v>2486</v>
      </c>
    </row>
    <row r="86" customFormat="false" ht="15" hidden="false" customHeight="false" outlineLevel="0" collapsed="false">
      <c r="A86" s="6" t="s">
        <v>2961</v>
      </c>
      <c r="B86" s="6" t="s">
        <v>3326</v>
      </c>
      <c r="C86" s="6" t="s">
        <v>3366</v>
      </c>
      <c r="D86" s="11" t="n">
        <v>0.35</v>
      </c>
      <c r="E86" s="6" t="s">
        <v>3367</v>
      </c>
      <c r="F86" s="6" t="s">
        <v>3368</v>
      </c>
      <c r="G86" s="6" t="s">
        <v>3369</v>
      </c>
    </row>
    <row r="87" customFormat="false" ht="15" hidden="false" customHeight="false" outlineLevel="0" collapsed="false">
      <c r="A87" s="6" t="s">
        <v>2962</v>
      </c>
      <c r="B87" s="6" t="s">
        <v>3326</v>
      </c>
      <c r="C87" s="6" t="s">
        <v>3370</v>
      </c>
      <c r="D87" s="11" t="n">
        <v>0.65</v>
      </c>
      <c r="E87" s="6" t="s">
        <v>3367</v>
      </c>
      <c r="F87" s="6" t="s">
        <v>3371</v>
      </c>
      <c r="G87" s="6" t="s">
        <v>3369</v>
      </c>
    </row>
    <row r="88" customFormat="false" ht="15" hidden="false" customHeight="false" outlineLevel="0" collapsed="false">
      <c r="A88" s="6" t="s">
        <v>2958</v>
      </c>
      <c r="B88" s="6" t="s">
        <v>3326</v>
      </c>
      <c r="C88" s="6" t="s">
        <v>3372</v>
      </c>
      <c r="D88" s="11" t="n">
        <v>0.25</v>
      </c>
      <c r="E88" s="6" t="s">
        <v>3367</v>
      </c>
      <c r="F88" s="6"/>
      <c r="G88" s="6" t="s">
        <v>3373</v>
      </c>
    </row>
    <row r="89" customFormat="false" ht="15" hidden="false" customHeight="false" outlineLevel="0" collapsed="false">
      <c r="A89" s="6" t="s">
        <v>2959</v>
      </c>
      <c r="B89" s="6" t="s">
        <v>3326</v>
      </c>
      <c r="C89" s="6" t="s">
        <v>3374</v>
      </c>
      <c r="D89" s="11" t="n">
        <v>0.35</v>
      </c>
      <c r="E89" s="6" t="s">
        <v>3367</v>
      </c>
      <c r="F89" s="6"/>
      <c r="G89" s="6" t="s">
        <v>3373</v>
      </c>
    </row>
    <row r="90" customFormat="false" ht="15" hidden="false" customHeight="false" outlineLevel="0" collapsed="false">
      <c r="A90" s="6" t="s">
        <v>2960</v>
      </c>
      <c r="B90" s="6" t="s">
        <v>3326</v>
      </c>
      <c r="C90" s="6" t="s">
        <v>3375</v>
      </c>
      <c r="D90" s="11" t="n">
        <v>0.4</v>
      </c>
      <c r="E90" s="6" t="s">
        <v>3367</v>
      </c>
      <c r="F90" s="6"/>
      <c r="G90" s="6" t="s">
        <v>3373</v>
      </c>
    </row>
    <row r="91" customFormat="false" ht="15" hidden="false" customHeight="false" outlineLevel="0" collapsed="false">
      <c r="A91" s="6" t="s">
        <v>2955</v>
      </c>
      <c r="B91" s="6" t="s">
        <v>3326</v>
      </c>
      <c r="C91" s="6" t="s">
        <v>3376</v>
      </c>
      <c r="D91" s="11" t="n">
        <v>0.25</v>
      </c>
      <c r="E91" s="6" t="s">
        <v>3367</v>
      </c>
      <c r="F91" s="6"/>
      <c r="G91" s="6" t="s">
        <v>3373</v>
      </c>
    </row>
    <row r="92" customFormat="false" ht="15" hidden="false" customHeight="false" outlineLevel="0" collapsed="false">
      <c r="A92" s="6" t="s">
        <v>2956</v>
      </c>
      <c r="B92" s="6" t="s">
        <v>3326</v>
      </c>
      <c r="C92" s="6" t="s">
        <v>3377</v>
      </c>
      <c r="D92" s="11" t="n">
        <v>0.35</v>
      </c>
      <c r="E92" s="6" t="s">
        <v>3367</v>
      </c>
      <c r="F92" s="6" t="s">
        <v>3378</v>
      </c>
      <c r="G92" s="6" t="s">
        <v>3373</v>
      </c>
    </row>
    <row r="93" customFormat="false" ht="15" hidden="false" customHeight="false" outlineLevel="0" collapsed="false">
      <c r="A93" s="6" t="s">
        <v>2957</v>
      </c>
      <c r="B93" s="6" t="s">
        <v>3326</v>
      </c>
      <c r="C93" s="6" t="s">
        <v>3379</v>
      </c>
      <c r="D93" s="11" t="n">
        <v>0.4</v>
      </c>
      <c r="E93" s="6" t="s">
        <v>3367</v>
      </c>
      <c r="F93" s="6"/>
      <c r="G93" s="6" t="s">
        <v>3373</v>
      </c>
    </row>
    <row r="94" customFormat="false" ht="15" hidden="false" customHeight="false" outlineLevel="0" collapsed="false">
      <c r="A94" s="6" t="s">
        <v>2950</v>
      </c>
      <c r="B94" s="6" t="s">
        <v>3326</v>
      </c>
      <c r="C94" s="6" t="s">
        <v>3380</v>
      </c>
      <c r="D94" s="11" t="n">
        <v>0.3</v>
      </c>
      <c r="E94" s="6" t="s">
        <v>3367</v>
      </c>
      <c r="F94" s="6" t="s">
        <v>3381</v>
      </c>
      <c r="G94" s="6" t="s">
        <v>3382</v>
      </c>
    </row>
    <row r="95" customFormat="false" ht="15" hidden="false" customHeight="false" outlineLevel="0" collapsed="false">
      <c r="A95" s="6" t="s">
        <v>2953</v>
      </c>
      <c r="B95" s="6" t="s">
        <v>3326</v>
      </c>
      <c r="C95" s="6" t="s">
        <v>3383</v>
      </c>
      <c r="D95" s="11" t="n">
        <v>0.7</v>
      </c>
      <c r="E95" s="6" t="s">
        <v>3367</v>
      </c>
      <c r="F95" s="6"/>
      <c r="G95" s="6" t="s">
        <v>3373</v>
      </c>
    </row>
    <row r="96" customFormat="false" ht="15" hidden="false" customHeight="false" outlineLevel="0" collapsed="false">
      <c r="A96" s="6" t="s">
        <v>2963</v>
      </c>
      <c r="B96" s="6" t="s">
        <v>3326</v>
      </c>
      <c r="C96" s="6" t="s">
        <v>3384</v>
      </c>
      <c r="D96" s="11" t="n">
        <v>0.4</v>
      </c>
      <c r="E96" s="6" t="s">
        <v>3367</v>
      </c>
      <c r="F96" s="6"/>
      <c r="G96" s="6" t="s">
        <v>3373</v>
      </c>
    </row>
    <row r="97" customFormat="false" ht="15" hidden="false" customHeight="false" outlineLevel="0" collapsed="false">
      <c r="A97" s="6" t="s">
        <v>2964</v>
      </c>
      <c r="B97" s="6" t="s">
        <v>3326</v>
      </c>
      <c r="C97" s="6" t="s">
        <v>3385</v>
      </c>
      <c r="D97" s="11" t="n">
        <v>0.6</v>
      </c>
      <c r="E97" s="6" t="s">
        <v>3367</v>
      </c>
      <c r="F97" s="6"/>
      <c r="G97" s="6" t="s">
        <v>3373</v>
      </c>
    </row>
    <row r="98" customFormat="false" ht="15" hidden="false" customHeight="false" outlineLevel="0" collapsed="false">
      <c r="A98" s="6" t="s">
        <v>2954</v>
      </c>
      <c r="B98" s="6" t="s">
        <v>3326</v>
      </c>
      <c r="C98" s="6" t="s">
        <v>3386</v>
      </c>
      <c r="D98" s="11" t="n">
        <v>0.01</v>
      </c>
      <c r="E98" s="6" t="s">
        <v>2951</v>
      </c>
      <c r="F98" s="6" t="s">
        <v>3387</v>
      </c>
      <c r="G98" s="6" t="s">
        <v>3388</v>
      </c>
    </row>
    <row r="99" customFormat="false" ht="15" hidden="false" customHeight="false" outlineLevel="0" collapsed="false">
      <c r="A99" s="6" t="s">
        <v>2933</v>
      </c>
      <c r="B99" s="6" t="s">
        <v>3326</v>
      </c>
      <c r="C99" s="6" t="s">
        <v>3389</v>
      </c>
      <c r="D99" s="11" t="n">
        <v>1</v>
      </c>
      <c r="E99" s="6" t="s">
        <v>2934</v>
      </c>
      <c r="F99" s="6" t="s">
        <v>2935</v>
      </c>
      <c r="G99" s="6" t="s">
        <v>2935</v>
      </c>
    </row>
    <row r="100" customFormat="false" ht="15" hidden="false" customHeight="false" outlineLevel="0" collapsed="false">
      <c r="A100" s="6" t="s">
        <v>2966</v>
      </c>
      <c r="B100" s="6" t="s">
        <v>470</v>
      </c>
      <c r="C100" s="6" t="s">
        <v>3390</v>
      </c>
      <c r="D100" s="11" t="n">
        <v>0.083</v>
      </c>
      <c r="E100" s="6" t="s">
        <v>2967</v>
      </c>
      <c r="F100" s="6" t="s">
        <v>3391</v>
      </c>
      <c r="G100" s="6" t="s">
        <v>3265</v>
      </c>
    </row>
    <row r="101" customFormat="false" ht="15" hidden="false" customHeight="false" outlineLevel="0" collapsed="false">
      <c r="A101" s="6" t="s">
        <v>2973</v>
      </c>
      <c r="B101" s="6" t="s">
        <v>470</v>
      </c>
      <c r="C101" s="6" t="s">
        <v>3392</v>
      </c>
      <c r="D101" s="11" t="n">
        <v>0.01</v>
      </c>
      <c r="E101" s="6" t="s">
        <v>2944</v>
      </c>
      <c r="F101" s="6" t="s">
        <v>3393</v>
      </c>
      <c r="G101" s="6" t="s">
        <v>2935</v>
      </c>
    </row>
    <row r="102" customFormat="false" ht="15" hidden="false" customHeight="false" outlineLevel="0" collapsed="false">
      <c r="A102" s="6" t="s">
        <v>2968</v>
      </c>
      <c r="B102" s="6" t="s">
        <v>470</v>
      </c>
      <c r="C102" s="6" t="s">
        <v>3394</v>
      </c>
      <c r="D102" s="11" t="n">
        <v>0.008</v>
      </c>
      <c r="E102" s="6" t="s">
        <v>2922</v>
      </c>
      <c r="F102" s="6"/>
      <c r="G102" s="6" t="s">
        <v>2935</v>
      </c>
    </row>
    <row r="103" customFormat="false" ht="15" hidden="false" customHeight="false" outlineLevel="0" collapsed="false">
      <c r="A103" s="6" t="s">
        <v>3395</v>
      </c>
      <c r="B103" s="6" t="s">
        <v>470</v>
      </c>
      <c r="C103" s="6" t="s">
        <v>3396</v>
      </c>
      <c r="D103" s="11" t="n">
        <v>5</v>
      </c>
      <c r="E103" s="6" t="s">
        <v>3397</v>
      </c>
      <c r="F103" s="6"/>
      <c r="G103" s="6" t="s">
        <v>3373</v>
      </c>
    </row>
    <row r="104" customFormat="false" ht="15" hidden="false" customHeight="false" outlineLevel="0" collapsed="false">
      <c r="A104" s="6" t="s">
        <v>2970</v>
      </c>
      <c r="B104" s="6" t="s">
        <v>470</v>
      </c>
      <c r="C104" s="6" t="s">
        <v>3398</v>
      </c>
      <c r="D104" s="9" t="n">
        <f aca="false">1.1/$D$103</f>
        <v>0.22</v>
      </c>
      <c r="E104" s="6" t="s">
        <v>2925</v>
      </c>
      <c r="F104" s="6"/>
      <c r="G104" s="6" t="s">
        <v>2486</v>
      </c>
    </row>
    <row r="105" customFormat="false" ht="15" hidden="false" customHeight="false" outlineLevel="0" collapsed="false">
      <c r="A105" s="6" t="s">
        <v>2972</v>
      </c>
      <c r="B105" s="6" t="s">
        <v>470</v>
      </c>
      <c r="C105" s="6" t="s">
        <v>3399</v>
      </c>
      <c r="D105" s="11" t="n">
        <v>0.02</v>
      </c>
      <c r="E105" s="6" t="s">
        <v>2942</v>
      </c>
      <c r="F105" s="6"/>
      <c r="G105" s="6" t="s">
        <v>2935</v>
      </c>
    </row>
    <row r="106" customFormat="false" ht="15" hidden="false" customHeight="false" outlineLevel="0" collapsed="false">
      <c r="A106" s="6" t="s">
        <v>3016</v>
      </c>
      <c r="B106" s="6" t="s">
        <v>2704</v>
      </c>
      <c r="C106" s="6" t="s">
        <v>3400</v>
      </c>
      <c r="D106" s="11" t="n">
        <v>0.42</v>
      </c>
      <c r="E106" s="6" t="s">
        <v>2944</v>
      </c>
      <c r="F106" s="6" t="s">
        <v>3401</v>
      </c>
      <c r="G106" s="6" t="s">
        <v>3289</v>
      </c>
    </row>
    <row r="107" customFormat="false" ht="15" hidden="false" customHeight="false" outlineLevel="0" collapsed="false">
      <c r="A107" s="6" t="s">
        <v>3014</v>
      </c>
      <c r="B107" s="6" t="s">
        <v>2704</v>
      </c>
      <c r="C107" s="6" t="s">
        <v>3402</v>
      </c>
      <c r="D107" s="11" t="n">
        <v>0.03</v>
      </c>
      <c r="E107" s="6" t="s">
        <v>2944</v>
      </c>
      <c r="F107" s="6" t="s">
        <v>3403</v>
      </c>
      <c r="G107" s="6" t="s">
        <v>3289</v>
      </c>
    </row>
    <row r="108" customFormat="false" ht="15" hidden="false" customHeight="false" outlineLevel="0" collapsed="false">
      <c r="A108" s="6" t="s">
        <v>3015</v>
      </c>
      <c r="B108" s="6" t="s">
        <v>2704</v>
      </c>
      <c r="C108" s="6" t="s">
        <v>3404</v>
      </c>
      <c r="D108" s="11" t="n">
        <v>1.5</v>
      </c>
      <c r="E108" s="6" t="s">
        <v>2967</v>
      </c>
      <c r="F108" s="6"/>
      <c r="G108" s="6" t="s">
        <v>2935</v>
      </c>
    </row>
    <row r="109" customFormat="false" ht="15" hidden="false" customHeight="false" outlineLevel="0" collapsed="false">
      <c r="A109" s="6" t="s">
        <v>3018</v>
      </c>
      <c r="B109" s="6" t="s">
        <v>2704</v>
      </c>
      <c r="C109" s="6" t="s">
        <v>3405</v>
      </c>
      <c r="D109" s="11" t="n">
        <v>0.05</v>
      </c>
      <c r="E109" s="6" t="s">
        <v>2944</v>
      </c>
      <c r="F109" s="6"/>
      <c r="G109" s="6" t="s">
        <v>2935</v>
      </c>
    </row>
    <row r="110" customFormat="false" ht="15" hidden="false" customHeight="false" outlineLevel="0" collapsed="false">
      <c r="A110" s="6" t="s">
        <v>3406</v>
      </c>
      <c r="B110" s="6" t="s">
        <v>2704</v>
      </c>
      <c r="C110" s="6" t="s">
        <v>3407</v>
      </c>
      <c r="D110" s="11" t="n">
        <v>4</v>
      </c>
      <c r="E110" s="6" t="s">
        <v>3200</v>
      </c>
      <c r="F110" s="6"/>
      <c r="G110" s="6" t="s">
        <v>3373</v>
      </c>
    </row>
    <row r="111" customFormat="false" ht="15" hidden="false" customHeight="false" outlineLevel="0" collapsed="false">
      <c r="A111" s="6" t="s">
        <v>3020</v>
      </c>
      <c r="B111" s="6" t="s">
        <v>2704</v>
      </c>
      <c r="C111" s="6" t="s">
        <v>3408</v>
      </c>
      <c r="D111" s="9" t="n">
        <f aca="false">$D$110/12</f>
        <v>0.333333333333333</v>
      </c>
      <c r="E111" s="6" t="s">
        <v>3021</v>
      </c>
      <c r="F111" s="6"/>
      <c r="G111" s="6" t="s">
        <v>2486</v>
      </c>
    </row>
    <row r="112" customFormat="false" ht="15" hidden="false" customHeight="false" outlineLevel="0" collapsed="false">
      <c r="A112" s="6" t="s">
        <v>3409</v>
      </c>
      <c r="B112" s="6" t="s">
        <v>2704</v>
      </c>
      <c r="C112" s="6" t="s">
        <v>3410</v>
      </c>
      <c r="D112" s="11" t="n">
        <v>10</v>
      </c>
      <c r="E112" s="6" t="s">
        <v>3200</v>
      </c>
      <c r="F112" s="6"/>
      <c r="G112" s="6" t="s">
        <v>3411</v>
      </c>
    </row>
    <row r="113" customFormat="false" ht="15" hidden="false" customHeight="false" outlineLevel="0" collapsed="false">
      <c r="A113" s="6" t="s">
        <v>3412</v>
      </c>
      <c r="B113" s="6" t="s">
        <v>2704</v>
      </c>
      <c r="C113" s="6" t="s">
        <v>3413</v>
      </c>
      <c r="D113" s="11" t="n">
        <v>6.5</v>
      </c>
      <c r="E113" s="6" t="s">
        <v>3200</v>
      </c>
      <c r="F113" s="6"/>
      <c r="G113" s="6" t="s">
        <v>3411</v>
      </c>
    </row>
    <row r="114" customFormat="false" ht="15" hidden="false" customHeight="false" outlineLevel="0" collapsed="false">
      <c r="A114" s="6" t="s">
        <v>3024</v>
      </c>
      <c r="B114" s="6" t="s">
        <v>2704</v>
      </c>
      <c r="C114" s="6" t="s">
        <v>3414</v>
      </c>
      <c r="D114" s="9" t="n">
        <f aca="false">($D$112+1.5+$D$113)/12</f>
        <v>1.5</v>
      </c>
      <c r="E114" s="6" t="s">
        <v>3021</v>
      </c>
      <c r="F114" s="6" t="s">
        <v>3415</v>
      </c>
      <c r="G114" s="6" t="s">
        <v>2486</v>
      </c>
    </row>
    <row r="115" customFormat="false" ht="15" hidden="false" customHeight="false" outlineLevel="0" collapsed="false">
      <c r="A115" s="6" t="s">
        <v>3027</v>
      </c>
      <c r="B115" s="6" t="s">
        <v>2704</v>
      </c>
      <c r="C115" s="6" t="s">
        <v>3416</v>
      </c>
      <c r="D115" s="11" t="n">
        <v>0.75</v>
      </c>
      <c r="E115" s="6" t="s">
        <v>3021</v>
      </c>
      <c r="F115" s="6" t="s">
        <v>3417</v>
      </c>
      <c r="G115" s="6" t="s">
        <v>3373</v>
      </c>
    </row>
    <row r="116" customFormat="false" ht="15" hidden="false" customHeight="false" outlineLevel="0" collapsed="false">
      <c r="A116" s="6" t="s">
        <v>3026</v>
      </c>
      <c r="B116" s="6" t="s">
        <v>567</v>
      </c>
      <c r="C116" s="6" t="s">
        <v>3418</v>
      </c>
      <c r="D116" s="9" t="n">
        <f aca="false">2/12*1.15</f>
        <v>0.191666666666667</v>
      </c>
      <c r="E116" s="6" t="s">
        <v>2942</v>
      </c>
      <c r="F116" s="6" t="s">
        <v>3419</v>
      </c>
      <c r="G116" s="6" t="s">
        <v>2486</v>
      </c>
    </row>
    <row r="117" customFormat="false" ht="15" hidden="false" customHeight="false" outlineLevel="0" collapsed="false">
      <c r="A117" s="6" t="s">
        <v>3420</v>
      </c>
      <c r="B117" s="6" t="s">
        <v>2734</v>
      </c>
      <c r="C117" s="6" t="s">
        <v>3421</v>
      </c>
      <c r="D117" s="11" t="n">
        <v>5</v>
      </c>
      <c r="E117" s="6" t="s">
        <v>3200</v>
      </c>
      <c r="F117" s="6" t="s">
        <v>3422</v>
      </c>
      <c r="G117" s="6" t="s">
        <v>3423</v>
      </c>
    </row>
    <row r="118" customFormat="false" ht="15" hidden="false" customHeight="false" outlineLevel="0" collapsed="false">
      <c r="A118" s="6" t="s">
        <v>3424</v>
      </c>
      <c r="B118" s="6" t="s">
        <v>2734</v>
      </c>
      <c r="C118" s="6" t="s">
        <v>3425</v>
      </c>
      <c r="D118" s="11" t="n">
        <v>2.75</v>
      </c>
      <c r="E118" s="6" t="s">
        <v>3200</v>
      </c>
      <c r="F118" s="6"/>
      <c r="G118" s="6" t="s">
        <v>3426</v>
      </c>
    </row>
    <row r="119" customFormat="false" ht="15" hidden="false" customHeight="false" outlineLevel="0" collapsed="false">
      <c r="A119" s="6" t="s">
        <v>3028</v>
      </c>
      <c r="B119" s="6" t="s">
        <v>2734</v>
      </c>
      <c r="C119" s="6" t="s">
        <v>3427</v>
      </c>
      <c r="D119" s="9" t="n">
        <f aca="false">$D$117*$D$118/144</f>
        <v>0.0954861111111111</v>
      </c>
      <c r="E119" s="6" t="s">
        <v>3029</v>
      </c>
      <c r="F119" s="6"/>
      <c r="G119" s="6" t="s">
        <v>2486</v>
      </c>
    </row>
    <row r="120" customFormat="false" ht="15" hidden="false" customHeight="false" outlineLevel="0" collapsed="false">
      <c r="A120" s="6" t="s">
        <v>3030</v>
      </c>
      <c r="B120" s="6" t="s">
        <v>2734</v>
      </c>
      <c r="C120" s="6" t="s">
        <v>3428</v>
      </c>
      <c r="D120" s="11" t="n">
        <v>0.35</v>
      </c>
      <c r="E120" s="6" t="s">
        <v>3031</v>
      </c>
      <c r="F120" s="6" t="s">
        <v>3429</v>
      </c>
      <c r="G120" s="6" t="s">
        <v>3373</v>
      </c>
    </row>
    <row r="121" customFormat="false" ht="15" hidden="false" customHeight="false" outlineLevel="0" collapsed="false">
      <c r="A121" s="6" t="s">
        <v>3034</v>
      </c>
      <c r="B121" s="6" t="s">
        <v>952</v>
      </c>
      <c r="C121" s="6" t="s">
        <v>3430</v>
      </c>
      <c r="D121" s="11" t="n">
        <v>0.8</v>
      </c>
      <c r="E121" s="6" t="s">
        <v>2925</v>
      </c>
      <c r="F121" s="6" t="s">
        <v>3431</v>
      </c>
      <c r="G121" s="6" t="s">
        <v>2935</v>
      </c>
    </row>
    <row r="122" customFormat="false" ht="15" hidden="false" customHeight="false" outlineLevel="0" collapsed="false">
      <c r="A122" s="6" t="s">
        <v>3035</v>
      </c>
      <c r="B122" s="6" t="s">
        <v>952</v>
      </c>
      <c r="C122" s="6" t="s">
        <v>3432</v>
      </c>
      <c r="D122" s="11" t="n">
        <v>0.5</v>
      </c>
      <c r="E122" s="6" t="s">
        <v>2925</v>
      </c>
      <c r="F122" s="6" t="s">
        <v>3433</v>
      </c>
      <c r="G122" s="6" t="s">
        <v>2935</v>
      </c>
    </row>
    <row r="123" customFormat="false" ht="15" hidden="false" customHeight="false" outlineLevel="0" collapsed="false">
      <c r="A123" s="6" t="s">
        <v>3434</v>
      </c>
      <c r="B123" s="6" t="s">
        <v>952</v>
      </c>
      <c r="C123" s="6" t="s">
        <v>3435</v>
      </c>
      <c r="D123" s="11" t="n">
        <v>27</v>
      </c>
      <c r="E123" s="6" t="s">
        <v>3436</v>
      </c>
      <c r="F123" s="6" t="s">
        <v>3437</v>
      </c>
      <c r="G123" s="6" t="s">
        <v>2486</v>
      </c>
    </row>
    <row r="124" customFormat="false" ht="15" hidden="false" customHeight="false" outlineLevel="0" collapsed="false">
      <c r="A124" s="6" t="s">
        <v>3036</v>
      </c>
      <c r="B124" s="6" t="s">
        <v>952</v>
      </c>
      <c r="C124" s="6" t="s">
        <v>3438</v>
      </c>
      <c r="D124" s="9" t="n">
        <f aca="false">2*1/$D$123</f>
        <v>0.0740740740740741</v>
      </c>
      <c r="E124" s="6" t="s">
        <v>3037</v>
      </c>
      <c r="F124" s="6" t="s">
        <v>3439</v>
      </c>
      <c r="G124" s="6" t="s">
        <v>2486</v>
      </c>
    </row>
    <row r="125" customFormat="false" ht="15" hidden="false" customHeight="false" outlineLevel="0" collapsed="false">
      <c r="A125" s="6" t="s">
        <v>3038</v>
      </c>
      <c r="B125" s="6" t="s">
        <v>2749</v>
      </c>
      <c r="C125" s="6" t="s">
        <v>3440</v>
      </c>
      <c r="D125" s="11" t="n">
        <v>2</v>
      </c>
      <c r="E125" s="6" t="s">
        <v>2944</v>
      </c>
      <c r="F125" s="6" t="s">
        <v>3441</v>
      </c>
      <c r="G125" s="6" t="s">
        <v>3442</v>
      </c>
    </row>
    <row r="126" customFormat="false" ht="15" hidden="false" customHeight="false" outlineLevel="0" collapsed="false">
      <c r="A126" s="6" t="s">
        <v>3039</v>
      </c>
      <c r="B126" s="6" t="s">
        <v>2749</v>
      </c>
      <c r="C126" s="6" t="s">
        <v>3443</v>
      </c>
      <c r="D126" s="11" t="n">
        <v>3</v>
      </c>
      <c r="E126" s="6" t="s">
        <v>2944</v>
      </c>
      <c r="F126" s="6" t="s">
        <v>3444</v>
      </c>
      <c r="G126" s="6" t="s">
        <v>3442</v>
      </c>
    </row>
    <row r="127" customFormat="false" ht="15" hidden="false" customHeight="false" outlineLevel="0" collapsed="false">
      <c r="A127" s="6" t="s">
        <v>3042</v>
      </c>
      <c r="B127" s="6" t="s">
        <v>2762</v>
      </c>
      <c r="C127" s="6" t="s">
        <v>3445</v>
      </c>
      <c r="D127" s="11" t="n">
        <v>0.08</v>
      </c>
      <c r="E127" s="6" t="s">
        <v>2944</v>
      </c>
      <c r="F127" s="6" t="s">
        <v>3446</v>
      </c>
      <c r="G127" s="6" t="s">
        <v>3289</v>
      </c>
    </row>
    <row r="128" customFormat="false" ht="15" hidden="false" customHeight="false" outlineLevel="0" collapsed="false">
      <c r="A128" s="6" t="s">
        <v>3447</v>
      </c>
      <c r="B128" s="6" t="s">
        <v>2762</v>
      </c>
      <c r="C128" s="6" t="s">
        <v>3448</v>
      </c>
      <c r="D128" s="11" t="n">
        <v>350</v>
      </c>
      <c r="E128" s="6" t="s">
        <v>3449</v>
      </c>
      <c r="F128" s="6"/>
      <c r="G128" s="6" t="s">
        <v>3289</v>
      </c>
    </row>
    <row r="129" customFormat="false" ht="15" hidden="false" customHeight="false" outlineLevel="0" collapsed="false">
      <c r="A129" s="6" t="s">
        <v>3450</v>
      </c>
      <c r="B129" s="6" t="s">
        <v>2762</v>
      </c>
      <c r="C129" s="6" t="s">
        <v>3451</v>
      </c>
      <c r="D129" s="11" t="n">
        <v>350</v>
      </c>
      <c r="E129" s="6" t="s">
        <v>3449</v>
      </c>
      <c r="F129" s="6"/>
      <c r="G129" s="6" t="s">
        <v>3289</v>
      </c>
    </row>
    <row r="130" customFormat="false" ht="15" hidden="false" customHeight="false" outlineLevel="0" collapsed="false">
      <c r="A130" s="6" t="s">
        <v>3452</v>
      </c>
      <c r="B130" s="6" t="s">
        <v>2762</v>
      </c>
      <c r="C130" s="6" t="s">
        <v>3453</v>
      </c>
      <c r="D130" s="11" t="n">
        <v>2</v>
      </c>
      <c r="E130" s="6" t="s">
        <v>3276</v>
      </c>
      <c r="F130" s="6"/>
      <c r="G130" s="6" t="s">
        <v>3373</v>
      </c>
    </row>
    <row r="131" customFormat="false" ht="15" hidden="false" customHeight="false" outlineLevel="0" collapsed="false">
      <c r="A131" s="6" t="s">
        <v>3454</v>
      </c>
      <c r="B131" s="6" t="s">
        <v>2762</v>
      </c>
      <c r="C131" s="6" t="s">
        <v>3455</v>
      </c>
      <c r="D131" s="11" t="n">
        <v>300</v>
      </c>
      <c r="E131" s="6" t="s">
        <v>3449</v>
      </c>
      <c r="F131" s="6"/>
      <c r="G131" s="6" t="s">
        <v>3289</v>
      </c>
    </row>
    <row r="132" customFormat="false" ht="15" hidden="false" customHeight="false" outlineLevel="0" collapsed="false">
      <c r="A132" s="6" t="s">
        <v>3456</v>
      </c>
      <c r="B132" s="6" t="s">
        <v>2762</v>
      </c>
      <c r="C132" s="6" t="s">
        <v>3457</v>
      </c>
      <c r="D132" s="11" t="n">
        <v>2</v>
      </c>
      <c r="E132" s="6" t="s">
        <v>3276</v>
      </c>
      <c r="F132" s="6"/>
      <c r="G132" s="6" t="s">
        <v>3373</v>
      </c>
    </row>
    <row r="133" customFormat="false" ht="15" hidden="false" customHeight="false" outlineLevel="0" collapsed="false">
      <c r="A133" s="6" t="s">
        <v>3458</v>
      </c>
      <c r="B133" s="6" t="s">
        <v>2762</v>
      </c>
      <c r="C133" s="6" t="s">
        <v>3459</v>
      </c>
      <c r="D133" s="11" t="n">
        <v>350</v>
      </c>
      <c r="E133" s="6" t="s">
        <v>3449</v>
      </c>
      <c r="F133" s="6"/>
      <c r="G133" s="6" t="s">
        <v>3289</v>
      </c>
    </row>
    <row r="134" customFormat="false" ht="15" hidden="false" customHeight="false" outlineLevel="0" collapsed="false">
      <c r="A134" s="6" t="s">
        <v>3460</v>
      </c>
      <c r="B134" s="6" t="s">
        <v>2762</v>
      </c>
      <c r="C134" s="6" t="s">
        <v>3461</v>
      </c>
      <c r="D134" s="11" t="n">
        <v>2</v>
      </c>
      <c r="E134" s="6" t="s">
        <v>3276</v>
      </c>
      <c r="F134" s="6"/>
      <c r="G134" s="6" t="s">
        <v>3373</v>
      </c>
    </row>
    <row r="135" customFormat="false" ht="15" hidden="false" customHeight="false" outlineLevel="0" collapsed="false">
      <c r="A135" s="6" t="s">
        <v>3462</v>
      </c>
      <c r="B135" s="6" t="s">
        <v>2762</v>
      </c>
      <c r="C135" s="6" t="s">
        <v>3463</v>
      </c>
      <c r="D135" s="11" t="n">
        <v>400</v>
      </c>
      <c r="E135" s="6" t="s">
        <v>3449</v>
      </c>
      <c r="F135" s="6"/>
      <c r="G135" s="6" t="s">
        <v>3289</v>
      </c>
    </row>
    <row r="136" customFormat="false" ht="15" hidden="false" customHeight="false" outlineLevel="0" collapsed="false">
      <c r="A136" s="6" t="s">
        <v>2997</v>
      </c>
      <c r="B136" s="6" t="s">
        <v>2762</v>
      </c>
      <c r="C136" s="6" t="s">
        <v>3464</v>
      </c>
      <c r="D136" s="9" t="n">
        <f aca="false">1/$D$128</f>
        <v>0.00285714285714286</v>
      </c>
      <c r="E136" s="6" t="s">
        <v>2998</v>
      </c>
      <c r="F136" s="6"/>
      <c r="G136" s="6" t="s">
        <v>2486</v>
      </c>
    </row>
    <row r="137" customFormat="false" ht="15" hidden="false" customHeight="false" outlineLevel="0" collapsed="false">
      <c r="A137" s="6" t="s">
        <v>3043</v>
      </c>
      <c r="B137" s="6" t="s">
        <v>2762</v>
      </c>
      <c r="C137" s="6" t="s">
        <v>3465</v>
      </c>
      <c r="D137" s="9" t="n">
        <f aca="false">$D$130/$D$129</f>
        <v>0.00571428571428571</v>
      </c>
      <c r="E137" s="6" t="s">
        <v>2998</v>
      </c>
      <c r="F137" s="6"/>
      <c r="G137" s="6" t="s">
        <v>2486</v>
      </c>
    </row>
    <row r="138" customFormat="false" ht="15" hidden="false" customHeight="false" outlineLevel="0" collapsed="false">
      <c r="A138" s="6" t="s">
        <v>3045</v>
      </c>
      <c r="B138" s="6" t="s">
        <v>2762</v>
      </c>
      <c r="C138" s="6" t="s">
        <v>3466</v>
      </c>
      <c r="D138" s="9" t="n">
        <f aca="false">$D$132/$D$131</f>
        <v>0.00666666666666667</v>
      </c>
      <c r="E138" s="6" t="s">
        <v>2998</v>
      </c>
      <c r="F138" s="6"/>
      <c r="G138" s="6" t="s">
        <v>2486</v>
      </c>
    </row>
    <row r="139" customFormat="false" ht="15" hidden="false" customHeight="false" outlineLevel="0" collapsed="false">
      <c r="A139" s="6" t="s">
        <v>3047</v>
      </c>
      <c r="B139" s="6" t="s">
        <v>2762</v>
      </c>
      <c r="C139" s="6" t="s">
        <v>3467</v>
      </c>
      <c r="D139" s="9" t="n">
        <f aca="false">$D$134/$D$133</f>
        <v>0.00571428571428571</v>
      </c>
      <c r="E139" s="6" t="s">
        <v>2998</v>
      </c>
      <c r="F139" s="6"/>
      <c r="G139" s="6" t="s">
        <v>2486</v>
      </c>
    </row>
    <row r="140" customFormat="false" ht="15" hidden="false" customHeight="false" outlineLevel="0" collapsed="false">
      <c r="A140" s="6" t="s">
        <v>3046</v>
      </c>
      <c r="B140" s="6" t="s">
        <v>2762</v>
      </c>
      <c r="C140" s="6" t="s">
        <v>3468</v>
      </c>
      <c r="D140" s="9" t="n">
        <f aca="false">1/$D$135</f>
        <v>0.0025</v>
      </c>
      <c r="E140" s="6" t="s">
        <v>2998</v>
      </c>
      <c r="F140" s="6"/>
      <c r="G140" s="6" t="s">
        <v>2486</v>
      </c>
    </row>
    <row r="141" customFormat="false" ht="15" hidden="false" customHeight="false" outlineLevel="0" collapsed="false">
      <c r="A141" s="6" t="s">
        <v>3048</v>
      </c>
      <c r="B141" s="6" t="s">
        <v>2762</v>
      </c>
      <c r="C141" s="6" t="s">
        <v>3469</v>
      </c>
      <c r="D141" s="11" t="n">
        <v>0.005</v>
      </c>
      <c r="E141" s="6" t="s">
        <v>2922</v>
      </c>
      <c r="F141" s="6"/>
      <c r="G141" s="6" t="s">
        <v>2935</v>
      </c>
    </row>
    <row r="142" customFormat="false" ht="15" hidden="false" customHeight="false" outlineLevel="0" collapsed="false">
      <c r="A142" s="6" t="s">
        <v>3049</v>
      </c>
      <c r="B142" s="6" t="s">
        <v>2762</v>
      </c>
      <c r="C142" s="6" t="s">
        <v>3470</v>
      </c>
      <c r="D142" s="11" t="n">
        <v>0.03</v>
      </c>
      <c r="E142" s="6" t="s">
        <v>2922</v>
      </c>
      <c r="F142" s="6"/>
      <c r="G142" s="6" t="s">
        <v>3304</v>
      </c>
    </row>
    <row r="143" customFormat="false" ht="15" hidden="false" customHeight="false" outlineLevel="0" collapsed="false">
      <c r="A143" s="6" t="s">
        <v>3471</v>
      </c>
      <c r="B143" s="6" t="s">
        <v>2762</v>
      </c>
      <c r="C143" s="6" t="s">
        <v>3472</v>
      </c>
      <c r="D143" s="11" t="n">
        <v>0.16</v>
      </c>
      <c r="E143" s="6" t="s">
        <v>2944</v>
      </c>
      <c r="F143" s="6" t="s">
        <v>3473</v>
      </c>
      <c r="G143" s="6" t="s">
        <v>3289</v>
      </c>
    </row>
    <row r="144" customFormat="false" ht="15" hidden="false" customHeight="false" outlineLevel="0" collapsed="false">
      <c r="A144" s="6" t="s">
        <v>3040</v>
      </c>
      <c r="B144" s="6" t="s">
        <v>2758</v>
      </c>
      <c r="C144" s="6" t="s">
        <v>3474</v>
      </c>
      <c r="D144" s="11" t="n">
        <v>0.75</v>
      </c>
      <c r="E144" s="6" t="s">
        <v>2990</v>
      </c>
      <c r="F144" s="6" t="s">
        <v>3475</v>
      </c>
      <c r="G144" s="6" t="s">
        <v>3476</v>
      </c>
    </row>
    <row r="145" customFormat="false" ht="15" hidden="false" customHeight="false" outlineLevel="0" collapsed="false">
      <c r="A145" s="6" t="s">
        <v>3041</v>
      </c>
      <c r="B145" s="6" t="s">
        <v>2758</v>
      </c>
      <c r="C145" s="6" t="s">
        <v>3477</v>
      </c>
      <c r="D145" s="11" t="n">
        <v>0.05</v>
      </c>
      <c r="E145" s="6" t="s">
        <v>2944</v>
      </c>
      <c r="F145" s="6"/>
      <c r="G145" s="6" t="s">
        <v>3289</v>
      </c>
    </row>
    <row r="146" customFormat="false" ht="15" hidden="false" customHeight="false" outlineLevel="0" collapsed="false">
      <c r="A146" s="6" t="s">
        <v>3133</v>
      </c>
      <c r="B146" s="6" t="s">
        <v>2891</v>
      </c>
      <c r="C146" s="6" t="s">
        <v>3478</v>
      </c>
      <c r="D146" s="11" t="n">
        <v>2.8</v>
      </c>
      <c r="E146" s="6" t="s">
        <v>2925</v>
      </c>
      <c r="F146" s="6" t="s">
        <v>3479</v>
      </c>
      <c r="G146" s="6" t="s">
        <v>2935</v>
      </c>
    </row>
    <row r="147" customFormat="false" ht="15" hidden="false" customHeight="false" outlineLevel="0" collapsed="false">
      <c r="A147" s="6" t="s">
        <v>3134</v>
      </c>
      <c r="B147" s="6" t="s">
        <v>2891</v>
      </c>
      <c r="C147" s="6" t="s">
        <v>3480</v>
      </c>
      <c r="D147" s="11" t="n">
        <v>0.125</v>
      </c>
      <c r="E147" s="6" t="s">
        <v>3135</v>
      </c>
      <c r="F147" s="6" t="s">
        <v>3481</v>
      </c>
      <c r="G147" s="6" t="s">
        <v>2935</v>
      </c>
    </row>
    <row r="148" customFormat="false" ht="15" hidden="false" customHeight="false" outlineLevel="0" collapsed="false">
      <c r="A148" s="6" t="s">
        <v>3127</v>
      </c>
      <c r="B148" s="6" t="s">
        <v>1226</v>
      </c>
      <c r="C148" s="6" t="s">
        <v>3482</v>
      </c>
      <c r="D148" s="11" t="n">
        <v>2.5</v>
      </c>
      <c r="E148" s="6" t="s">
        <v>3021</v>
      </c>
      <c r="F148" s="6"/>
      <c r="G148" s="6" t="s">
        <v>3373</v>
      </c>
    </row>
    <row r="149" customFormat="false" ht="15" hidden="false" customHeight="false" outlineLevel="0" collapsed="false">
      <c r="A149" s="6" t="s">
        <v>3131</v>
      </c>
      <c r="B149" s="6" t="s">
        <v>1226</v>
      </c>
      <c r="C149" s="6" t="s">
        <v>3483</v>
      </c>
      <c r="D149" s="11" t="n">
        <v>2</v>
      </c>
      <c r="E149" s="6" t="s">
        <v>3021</v>
      </c>
      <c r="F149" s="6"/>
      <c r="G149" s="6" t="s">
        <v>3373</v>
      </c>
    </row>
    <row r="150" customFormat="false" ht="15" hidden="false" customHeight="false" outlineLevel="0" collapsed="false">
      <c r="A150" s="6" t="s">
        <v>3132</v>
      </c>
      <c r="B150" s="6" t="s">
        <v>1226</v>
      </c>
      <c r="C150" s="6" t="s">
        <v>3484</v>
      </c>
      <c r="D150" s="11" t="n">
        <v>2</v>
      </c>
      <c r="E150" s="6" t="s">
        <v>3021</v>
      </c>
      <c r="F150" s="6" t="s">
        <v>3485</v>
      </c>
      <c r="G150" s="6" t="s">
        <v>3373</v>
      </c>
    </row>
    <row r="151" customFormat="false" ht="15" hidden="false" customHeight="false" outlineLevel="0" collapsed="false">
      <c r="A151" s="6" t="s">
        <v>3128</v>
      </c>
      <c r="B151" s="6" t="s">
        <v>1226</v>
      </c>
      <c r="C151" s="6" t="s">
        <v>3486</v>
      </c>
      <c r="D151" s="11" t="n">
        <v>8</v>
      </c>
      <c r="E151" s="6" t="s">
        <v>3025</v>
      </c>
      <c r="F151" s="6"/>
      <c r="G151" s="6" t="s">
        <v>2935</v>
      </c>
    </row>
    <row r="152" customFormat="false" ht="15" hidden="false" customHeight="false" outlineLevel="0" collapsed="false">
      <c r="A152" s="6" t="s">
        <v>3129</v>
      </c>
      <c r="B152" s="6" t="s">
        <v>1226</v>
      </c>
      <c r="C152" s="6" t="s">
        <v>3487</v>
      </c>
      <c r="D152" s="11" t="n">
        <v>0.5</v>
      </c>
      <c r="E152" s="6" t="s">
        <v>3130</v>
      </c>
      <c r="F152" s="6"/>
      <c r="G152" s="6" t="s">
        <v>2935</v>
      </c>
    </row>
    <row r="153" customFormat="false" ht="15" hidden="false" customHeight="false" outlineLevel="0" collapsed="false">
      <c r="A153" s="6" t="s">
        <v>3488</v>
      </c>
      <c r="B153" s="6" t="s">
        <v>1841</v>
      </c>
      <c r="C153" s="6" t="s">
        <v>3489</v>
      </c>
      <c r="D153" s="11" t="n">
        <v>1.3</v>
      </c>
      <c r="E153" s="6" t="s">
        <v>83</v>
      </c>
      <c r="F153" s="6" t="s">
        <v>3490</v>
      </c>
      <c r="G153" s="6" t="s">
        <v>3320</v>
      </c>
    </row>
    <row r="154" customFormat="false" ht="15" hidden="false" customHeight="false" outlineLevel="0" collapsed="false">
      <c r="A154" s="6" t="s">
        <v>3050</v>
      </c>
      <c r="B154" s="6" t="s">
        <v>1841</v>
      </c>
      <c r="C154" s="6" t="s">
        <v>3491</v>
      </c>
      <c r="D154" s="11" t="n">
        <v>15</v>
      </c>
      <c r="E154" s="6" t="s">
        <v>3492</v>
      </c>
      <c r="F154" s="6" t="s">
        <v>2935</v>
      </c>
      <c r="G154" s="6" t="s">
        <v>3493</v>
      </c>
    </row>
    <row r="155" customFormat="false" ht="15" hidden="false" customHeight="false" outlineLevel="0" collapsed="false">
      <c r="A155" s="6" t="s">
        <v>3052</v>
      </c>
      <c r="B155" s="6" t="s">
        <v>1841</v>
      </c>
      <c r="C155" s="6" t="s">
        <v>3494</v>
      </c>
      <c r="D155" s="11" t="n">
        <v>10</v>
      </c>
      <c r="E155" s="6" t="s">
        <v>3495</v>
      </c>
      <c r="F155" s="6"/>
      <c r="G155" s="6" t="s">
        <v>2935</v>
      </c>
    </row>
    <row r="156" customFormat="false" ht="15" hidden="false" customHeight="false" outlineLevel="0" collapsed="false">
      <c r="A156" s="6" t="s">
        <v>3054</v>
      </c>
      <c r="B156" s="6" t="s">
        <v>1841</v>
      </c>
      <c r="C156" s="6" t="s">
        <v>3496</v>
      </c>
      <c r="D156" s="11" t="n">
        <v>5</v>
      </c>
      <c r="E156" s="6" t="s">
        <v>3495</v>
      </c>
      <c r="F156" s="6"/>
      <c r="G156" s="6" t="s">
        <v>2935</v>
      </c>
    </row>
    <row r="157" customFormat="false" ht="15" hidden="false" customHeight="false" outlineLevel="0" collapsed="false">
      <c r="A157" s="6" t="s">
        <v>3057</v>
      </c>
      <c r="B157" s="6" t="s">
        <v>1841</v>
      </c>
      <c r="C157" s="6" t="s">
        <v>3497</v>
      </c>
      <c r="D157" s="11" t="n">
        <v>20</v>
      </c>
      <c r="E157" s="6" t="s">
        <v>3492</v>
      </c>
      <c r="F157" s="6"/>
      <c r="G157" s="6" t="s">
        <v>2935</v>
      </c>
    </row>
    <row r="158" customFormat="false" ht="15" hidden="false" customHeight="false" outlineLevel="0" collapsed="false">
      <c r="A158" s="6" t="s">
        <v>3058</v>
      </c>
      <c r="B158" s="6" t="s">
        <v>1841</v>
      </c>
      <c r="C158" s="6" t="s">
        <v>3498</v>
      </c>
      <c r="D158" s="11" t="n">
        <v>14</v>
      </c>
      <c r="E158" s="6" t="s">
        <v>3495</v>
      </c>
      <c r="F158" s="6"/>
      <c r="G158" s="6" t="s">
        <v>2935</v>
      </c>
    </row>
    <row r="159" customFormat="false" ht="15" hidden="false" customHeight="false" outlineLevel="0" collapsed="false">
      <c r="A159" s="6" t="s">
        <v>3059</v>
      </c>
      <c r="B159" s="6" t="s">
        <v>1841</v>
      </c>
      <c r="C159" s="6" t="s">
        <v>3499</v>
      </c>
      <c r="D159" s="11" t="n">
        <v>7</v>
      </c>
      <c r="E159" s="6" t="s">
        <v>3495</v>
      </c>
      <c r="F159" s="6"/>
      <c r="G159" s="6" t="s">
        <v>2935</v>
      </c>
    </row>
    <row r="160" customFormat="false" ht="15" hidden="false" customHeight="false" outlineLevel="0" collapsed="false">
      <c r="A160" s="6" t="s">
        <v>3060</v>
      </c>
      <c r="B160" s="6" t="s">
        <v>1841</v>
      </c>
      <c r="C160" s="6" t="s">
        <v>3500</v>
      </c>
      <c r="D160" s="11" t="n">
        <v>18</v>
      </c>
      <c r="E160" s="6" t="s">
        <v>3495</v>
      </c>
      <c r="F160" s="6"/>
      <c r="G160" s="6" t="s">
        <v>2935</v>
      </c>
    </row>
    <row r="161" customFormat="false" ht="15" hidden="false" customHeight="false" outlineLevel="0" collapsed="false">
      <c r="A161" s="6" t="s">
        <v>3062</v>
      </c>
      <c r="B161" s="6" t="s">
        <v>1841</v>
      </c>
      <c r="C161" s="6" t="s">
        <v>3501</v>
      </c>
      <c r="D161" s="11" t="n">
        <v>40</v>
      </c>
      <c r="E161" s="6" t="s">
        <v>3492</v>
      </c>
      <c r="F161" s="6" t="s">
        <v>3502</v>
      </c>
      <c r="G161" s="6" t="s">
        <v>2935</v>
      </c>
    </row>
    <row r="162" customFormat="false" ht="15" hidden="false" customHeight="false" outlineLevel="0" collapsed="false">
      <c r="A162" s="6" t="s">
        <v>3063</v>
      </c>
      <c r="B162" s="6" t="s">
        <v>1841</v>
      </c>
      <c r="C162" s="6" t="s">
        <v>3503</v>
      </c>
      <c r="D162" s="11" t="n">
        <v>24</v>
      </c>
      <c r="E162" s="6" t="s">
        <v>3495</v>
      </c>
      <c r="F162" s="6"/>
      <c r="G162" s="6" t="s">
        <v>2935</v>
      </c>
    </row>
    <row r="163" customFormat="false" ht="15" hidden="false" customHeight="false" outlineLevel="0" collapsed="false">
      <c r="A163" s="6" t="s">
        <v>3064</v>
      </c>
      <c r="B163" s="6" t="s">
        <v>1841</v>
      </c>
      <c r="C163" s="6" t="s">
        <v>3504</v>
      </c>
      <c r="D163" s="11" t="n">
        <v>12</v>
      </c>
      <c r="E163" s="6" t="s">
        <v>3495</v>
      </c>
      <c r="F163" s="6"/>
      <c r="G163" s="6" t="s">
        <v>2935</v>
      </c>
    </row>
    <row r="164" customFormat="false" ht="15" hidden="false" customHeight="false" outlineLevel="0" collapsed="false">
      <c r="A164" s="6" t="s">
        <v>3065</v>
      </c>
      <c r="B164" s="6" t="s">
        <v>1841</v>
      </c>
      <c r="C164" s="6" t="s">
        <v>3505</v>
      </c>
      <c r="D164" s="11" t="n">
        <v>30</v>
      </c>
      <c r="E164" s="6" t="s">
        <v>3492</v>
      </c>
      <c r="F164" s="6"/>
      <c r="G164" s="6" t="s">
        <v>2935</v>
      </c>
    </row>
    <row r="165" customFormat="false" ht="15" hidden="false" customHeight="false" outlineLevel="0" collapsed="false">
      <c r="A165" s="6" t="s">
        <v>3066</v>
      </c>
      <c r="B165" s="6" t="s">
        <v>1841</v>
      </c>
      <c r="C165" s="6" t="s">
        <v>3506</v>
      </c>
      <c r="D165" s="11" t="n">
        <v>12</v>
      </c>
      <c r="E165" s="6" t="s">
        <v>3495</v>
      </c>
      <c r="F165" s="6"/>
      <c r="G165" s="6" t="s">
        <v>2935</v>
      </c>
    </row>
    <row r="166" customFormat="false" ht="15" hidden="false" customHeight="false" outlineLevel="0" collapsed="false">
      <c r="A166" s="6" t="s">
        <v>3056</v>
      </c>
      <c r="B166" s="6" t="s">
        <v>1841</v>
      </c>
      <c r="C166" s="6" t="s">
        <v>3507</v>
      </c>
      <c r="D166" s="11" t="n">
        <v>3</v>
      </c>
      <c r="E166" s="6" t="s">
        <v>3508</v>
      </c>
      <c r="F166" s="6" t="s">
        <v>3509</v>
      </c>
      <c r="G166" s="6" t="s">
        <v>2935</v>
      </c>
    </row>
    <row r="167" customFormat="false" ht="15" hidden="false" customHeight="false" outlineLevel="0" collapsed="false">
      <c r="A167" s="6" t="s">
        <v>3068</v>
      </c>
      <c r="B167" s="6" t="s">
        <v>1841</v>
      </c>
      <c r="C167" s="6" t="s">
        <v>3510</v>
      </c>
      <c r="D167" s="9" t="n">
        <f aca="false">2*1.1/$D$5</f>
        <v>0.670559978542081</v>
      </c>
      <c r="E167" s="6" t="s">
        <v>3069</v>
      </c>
      <c r="F167" s="6"/>
      <c r="G167" s="6" t="s">
        <v>2486</v>
      </c>
    </row>
    <row r="168" customFormat="false" ht="15" hidden="false" customHeight="false" outlineLevel="0" collapsed="false">
      <c r="A168" s="6" t="s">
        <v>3070</v>
      </c>
      <c r="B168" s="6" t="s">
        <v>1841</v>
      </c>
      <c r="C168" s="6" t="s">
        <v>3511</v>
      </c>
      <c r="D168" s="9" t="n">
        <f aca="false">1.1/$D$5</f>
        <v>0.33527998927104</v>
      </c>
      <c r="E168" s="6" t="s">
        <v>3069</v>
      </c>
      <c r="F168" s="6"/>
      <c r="G168" s="6" t="s">
        <v>2486</v>
      </c>
    </row>
    <row r="169" customFormat="false" ht="15" hidden="false" customHeight="false" outlineLevel="0" collapsed="false">
      <c r="A169" s="6" t="s">
        <v>3076</v>
      </c>
      <c r="B169" s="6" t="s">
        <v>1841</v>
      </c>
      <c r="C169" s="6" t="s">
        <v>3512</v>
      </c>
      <c r="D169" s="11" t="n">
        <v>15</v>
      </c>
      <c r="E169" s="6" t="s">
        <v>3077</v>
      </c>
      <c r="F169" s="6"/>
      <c r="G169" s="6" t="s">
        <v>2935</v>
      </c>
    </row>
    <row r="170" customFormat="false" ht="15" hidden="false" customHeight="false" outlineLevel="0" collapsed="false">
      <c r="A170" s="6" t="s">
        <v>3085</v>
      </c>
      <c r="B170" s="6" t="s">
        <v>689</v>
      </c>
      <c r="C170" s="6" t="s">
        <v>3513</v>
      </c>
      <c r="D170" s="11" t="n">
        <v>12</v>
      </c>
      <c r="E170" s="6" t="s">
        <v>77</v>
      </c>
      <c r="F170" s="6"/>
      <c r="G170" s="6" t="s">
        <v>3493</v>
      </c>
    </row>
    <row r="171" customFormat="false" ht="15" hidden="false" customHeight="false" outlineLevel="0" collapsed="false">
      <c r="A171" s="6" t="s">
        <v>3086</v>
      </c>
      <c r="B171" s="6" t="s">
        <v>689</v>
      </c>
      <c r="C171" s="6" t="s">
        <v>3514</v>
      </c>
      <c r="D171" s="11" t="n">
        <v>8</v>
      </c>
      <c r="E171" s="6" t="s">
        <v>77</v>
      </c>
      <c r="F171" s="6"/>
      <c r="G171" s="6" t="s">
        <v>2935</v>
      </c>
    </row>
    <row r="172" customFormat="false" ht="15" hidden="false" customHeight="false" outlineLevel="0" collapsed="false">
      <c r="A172" s="6" t="s">
        <v>3087</v>
      </c>
      <c r="B172" s="6" t="s">
        <v>689</v>
      </c>
      <c r="C172" s="6" t="s">
        <v>3515</v>
      </c>
      <c r="D172" s="11" t="n">
        <v>6</v>
      </c>
      <c r="E172" s="6" t="s">
        <v>115</v>
      </c>
      <c r="F172" s="6"/>
      <c r="G172" s="6" t="s">
        <v>2935</v>
      </c>
    </row>
    <row r="173" customFormat="false" ht="15" hidden="false" customHeight="false" outlineLevel="0" collapsed="false">
      <c r="A173" s="6" t="s">
        <v>3088</v>
      </c>
      <c r="B173" s="6" t="s">
        <v>689</v>
      </c>
      <c r="C173" s="6" t="s">
        <v>3516</v>
      </c>
      <c r="D173" s="11" t="n">
        <v>10</v>
      </c>
      <c r="E173" s="6" t="s">
        <v>77</v>
      </c>
      <c r="F173" s="6"/>
      <c r="G173" s="6" t="s">
        <v>2935</v>
      </c>
    </row>
    <row r="174" customFormat="false" ht="15" hidden="false" customHeight="false" outlineLevel="0" collapsed="false">
      <c r="A174" s="6" t="s">
        <v>3089</v>
      </c>
      <c r="B174" s="6" t="s">
        <v>689</v>
      </c>
      <c r="C174" s="6" t="s">
        <v>3517</v>
      </c>
      <c r="D174" s="11" t="n">
        <v>10</v>
      </c>
      <c r="E174" s="6" t="s">
        <v>77</v>
      </c>
      <c r="F174" s="6"/>
      <c r="G174" s="6" t="s">
        <v>2935</v>
      </c>
    </row>
    <row r="175" customFormat="false" ht="15" hidden="false" customHeight="false" outlineLevel="0" collapsed="false">
      <c r="A175" s="6" t="s">
        <v>3090</v>
      </c>
      <c r="B175" s="6" t="s">
        <v>689</v>
      </c>
      <c r="C175" s="6" t="s">
        <v>3518</v>
      </c>
      <c r="D175" s="11" t="n">
        <v>6</v>
      </c>
      <c r="E175" s="6" t="s">
        <v>77</v>
      </c>
      <c r="F175" s="6"/>
      <c r="G175" s="6" t="s">
        <v>2935</v>
      </c>
    </row>
    <row r="176" customFormat="false" ht="15" hidden="false" customHeight="false" outlineLevel="0" collapsed="false">
      <c r="A176" s="6" t="s">
        <v>3091</v>
      </c>
      <c r="B176" s="6" t="s">
        <v>689</v>
      </c>
      <c r="C176" s="6" t="s">
        <v>3519</v>
      </c>
      <c r="D176" s="11" t="n">
        <v>8</v>
      </c>
      <c r="E176" s="6" t="s">
        <v>115</v>
      </c>
      <c r="F176" s="6"/>
      <c r="G176" s="6" t="s">
        <v>2935</v>
      </c>
    </row>
    <row r="177" customFormat="false" ht="15" hidden="false" customHeight="false" outlineLevel="0" collapsed="false">
      <c r="A177" s="6" t="s">
        <v>3092</v>
      </c>
      <c r="B177" s="6" t="s">
        <v>689</v>
      </c>
      <c r="C177" s="6" t="s">
        <v>3520</v>
      </c>
      <c r="D177" s="11" t="n">
        <v>10</v>
      </c>
      <c r="E177" s="6" t="s">
        <v>77</v>
      </c>
      <c r="F177" s="6"/>
      <c r="G177" s="6" t="s">
        <v>2935</v>
      </c>
    </row>
    <row r="178" customFormat="false" ht="15" hidden="false" customHeight="false" outlineLevel="0" collapsed="false">
      <c r="A178" s="6" t="s">
        <v>3093</v>
      </c>
      <c r="B178" s="6" t="s">
        <v>689</v>
      </c>
      <c r="C178" s="6" t="s">
        <v>3521</v>
      </c>
      <c r="D178" s="11" t="n">
        <v>10</v>
      </c>
      <c r="E178" s="6" t="s">
        <v>77</v>
      </c>
      <c r="F178" s="6"/>
      <c r="G178" s="6" t="s">
        <v>2935</v>
      </c>
    </row>
    <row r="179" customFormat="false" ht="15" hidden="false" customHeight="false" outlineLevel="0" collapsed="false">
      <c r="A179" s="6" t="s">
        <v>3094</v>
      </c>
      <c r="B179" s="6" t="s">
        <v>689</v>
      </c>
      <c r="C179" s="6" t="s">
        <v>3522</v>
      </c>
      <c r="D179" s="11" t="n">
        <v>8</v>
      </c>
      <c r="E179" s="6" t="s">
        <v>115</v>
      </c>
      <c r="F179" s="6"/>
      <c r="G179" s="6" t="s">
        <v>2935</v>
      </c>
    </row>
    <row r="180" customFormat="false" ht="15" hidden="false" customHeight="false" outlineLevel="0" collapsed="false">
      <c r="A180" s="6" t="s">
        <v>3095</v>
      </c>
      <c r="B180" s="6" t="s">
        <v>689</v>
      </c>
      <c r="C180" s="6" t="s">
        <v>3523</v>
      </c>
      <c r="D180" s="11" t="n">
        <v>6</v>
      </c>
      <c r="E180" s="6" t="s">
        <v>77</v>
      </c>
      <c r="F180" s="6"/>
      <c r="G180" s="6" t="s">
        <v>2935</v>
      </c>
    </row>
    <row r="181" customFormat="false" ht="15" hidden="false" customHeight="false" outlineLevel="0" collapsed="false">
      <c r="A181" s="6" t="s">
        <v>3096</v>
      </c>
      <c r="B181" s="6" t="s">
        <v>689</v>
      </c>
      <c r="C181" s="6" t="s">
        <v>3524</v>
      </c>
      <c r="D181" s="11" t="n">
        <v>8</v>
      </c>
      <c r="E181" s="6" t="s">
        <v>77</v>
      </c>
      <c r="F181" s="6"/>
      <c r="G181" s="6" t="s">
        <v>2935</v>
      </c>
    </row>
    <row r="182" customFormat="false" ht="15" hidden="false" customHeight="false" outlineLevel="0" collapsed="false">
      <c r="A182" s="6" t="s">
        <v>3103</v>
      </c>
      <c r="B182" s="6" t="s">
        <v>689</v>
      </c>
      <c r="C182" s="6" t="s">
        <v>3525</v>
      </c>
      <c r="D182" s="11" t="n">
        <v>12</v>
      </c>
      <c r="E182" s="6" t="s">
        <v>77</v>
      </c>
      <c r="F182" s="6"/>
      <c r="G182" s="6" t="s">
        <v>2935</v>
      </c>
    </row>
    <row r="183" customFormat="false" ht="15" hidden="false" customHeight="false" outlineLevel="0" collapsed="false">
      <c r="A183" s="6" t="s">
        <v>3104</v>
      </c>
      <c r="B183" s="6" t="s">
        <v>689</v>
      </c>
      <c r="C183" s="6" t="s">
        <v>3526</v>
      </c>
      <c r="D183" s="11" t="n">
        <v>12</v>
      </c>
      <c r="E183" s="6" t="s">
        <v>77</v>
      </c>
      <c r="F183" s="6"/>
      <c r="G183" s="6" t="s">
        <v>2935</v>
      </c>
    </row>
    <row r="184" customFormat="false" ht="15" hidden="false" customHeight="false" outlineLevel="0" collapsed="false">
      <c r="A184" s="6" t="s">
        <v>3105</v>
      </c>
      <c r="B184" s="6" t="s">
        <v>689</v>
      </c>
      <c r="C184" s="6" t="s">
        <v>3527</v>
      </c>
      <c r="D184" s="11" t="n">
        <v>10</v>
      </c>
      <c r="E184" s="6" t="s">
        <v>77</v>
      </c>
      <c r="F184" s="6"/>
      <c r="G184" s="6" t="s">
        <v>2935</v>
      </c>
    </row>
    <row r="185" customFormat="false" ht="15" hidden="false" customHeight="false" outlineLevel="0" collapsed="false">
      <c r="A185" s="6" t="s">
        <v>3106</v>
      </c>
      <c r="B185" s="6" t="s">
        <v>689</v>
      </c>
      <c r="C185" s="6" t="s">
        <v>3528</v>
      </c>
      <c r="D185" s="11" t="n">
        <v>10</v>
      </c>
      <c r="E185" s="6" t="s">
        <v>77</v>
      </c>
      <c r="F185" s="6"/>
      <c r="G185" s="6" t="s">
        <v>2935</v>
      </c>
    </row>
    <row r="186" customFormat="false" ht="15" hidden="false" customHeight="false" outlineLevel="0" collapsed="false">
      <c r="A186" s="6" t="s">
        <v>3097</v>
      </c>
      <c r="B186" s="6" t="s">
        <v>689</v>
      </c>
      <c r="C186" s="6" t="s">
        <v>3529</v>
      </c>
      <c r="D186" s="11" t="n">
        <v>30</v>
      </c>
      <c r="E186" s="6" t="s">
        <v>77</v>
      </c>
      <c r="F186" s="6"/>
      <c r="G186" s="6" t="s">
        <v>2935</v>
      </c>
    </row>
    <row r="187" customFormat="false" ht="15" hidden="false" customHeight="false" outlineLevel="0" collapsed="false">
      <c r="A187" s="6" t="s">
        <v>3098</v>
      </c>
      <c r="B187" s="6" t="s">
        <v>689</v>
      </c>
      <c r="C187" s="6" t="s">
        <v>3530</v>
      </c>
      <c r="D187" s="11" t="n">
        <v>15</v>
      </c>
      <c r="E187" s="6" t="s">
        <v>77</v>
      </c>
      <c r="F187" s="6" t="s">
        <v>3531</v>
      </c>
      <c r="G187" s="6" t="s">
        <v>2935</v>
      </c>
    </row>
    <row r="188" customFormat="false" ht="15" hidden="false" customHeight="false" outlineLevel="0" collapsed="false">
      <c r="A188" s="6" t="s">
        <v>3099</v>
      </c>
      <c r="B188" s="6" t="s">
        <v>689</v>
      </c>
      <c r="C188" s="6" t="s">
        <v>3532</v>
      </c>
      <c r="D188" s="11" t="n">
        <v>12</v>
      </c>
      <c r="E188" s="6" t="s">
        <v>115</v>
      </c>
      <c r="F188" s="6"/>
      <c r="G188" s="6" t="s">
        <v>2935</v>
      </c>
    </row>
    <row r="189" customFormat="false" ht="15" hidden="false" customHeight="false" outlineLevel="0" collapsed="false">
      <c r="A189" s="6" t="s">
        <v>3100</v>
      </c>
      <c r="B189" s="6" t="s">
        <v>689</v>
      </c>
      <c r="C189" s="6" t="s">
        <v>3533</v>
      </c>
      <c r="D189" s="11" t="n">
        <v>0.25</v>
      </c>
      <c r="E189" s="6" t="s">
        <v>176</v>
      </c>
      <c r="F189" s="6"/>
      <c r="G189" s="6" t="s">
        <v>2935</v>
      </c>
    </row>
    <row r="190" customFormat="false" ht="15" hidden="false" customHeight="false" outlineLevel="0" collapsed="false">
      <c r="A190" s="6" t="s">
        <v>3101</v>
      </c>
      <c r="B190" s="6" t="s">
        <v>689</v>
      </c>
      <c r="C190" s="6" t="s">
        <v>3534</v>
      </c>
      <c r="D190" s="11" t="n">
        <v>2</v>
      </c>
      <c r="E190" s="6" t="s">
        <v>115</v>
      </c>
      <c r="F190" s="6" t="s">
        <v>3535</v>
      </c>
      <c r="G190" s="6" t="s">
        <v>3536</v>
      </c>
    </row>
    <row r="191" customFormat="false" ht="15" hidden="false" customHeight="false" outlineLevel="0" collapsed="false">
      <c r="A191" s="6" t="s">
        <v>3102</v>
      </c>
      <c r="B191" s="6" t="s">
        <v>689</v>
      </c>
      <c r="C191" s="6" t="s">
        <v>3537</v>
      </c>
      <c r="D191" s="11" t="n">
        <v>15</v>
      </c>
      <c r="E191" s="6" t="s">
        <v>115</v>
      </c>
      <c r="F191" s="6"/>
      <c r="G191" s="6" t="s">
        <v>2935</v>
      </c>
    </row>
    <row r="192" customFormat="false" ht="15" hidden="false" customHeight="false" outlineLevel="0" collapsed="false">
      <c r="A192" s="6" t="s">
        <v>3108</v>
      </c>
      <c r="B192" s="6" t="s">
        <v>689</v>
      </c>
      <c r="C192" s="6" t="s">
        <v>3538</v>
      </c>
      <c r="D192" s="11" t="n">
        <v>0.5</v>
      </c>
      <c r="E192" s="6" t="s">
        <v>3029</v>
      </c>
      <c r="F192" s="6" t="s">
        <v>3539</v>
      </c>
      <c r="G192" s="6" t="s">
        <v>2868</v>
      </c>
    </row>
    <row r="193" customFormat="false" ht="15" hidden="false" customHeight="false" outlineLevel="0" collapsed="false">
      <c r="A193" s="6" t="s">
        <v>3107</v>
      </c>
      <c r="B193" s="6" t="s">
        <v>689</v>
      </c>
      <c r="C193" s="6" t="s">
        <v>3540</v>
      </c>
      <c r="D193" s="11" t="n">
        <v>0.33</v>
      </c>
      <c r="E193" s="6" t="s">
        <v>3031</v>
      </c>
      <c r="F193" s="6" t="s">
        <v>3541</v>
      </c>
      <c r="G193" s="6" t="s">
        <v>3373</v>
      </c>
    </row>
    <row r="194" customFormat="false" ht="15" hidden="false" customHeight="false" outlineLevel="0" collapsed="false">
      <c r="A194" s="6" t="s">
        <v>3125</v>
      </c>
      <c r="B194" s="6" t="s">
        <v>1796</v>
      </c>
      <c r="C194" s="6" t="s">
        <v>3542</v>
      </c>
      <c r="D194" s="11" t="n">
        <v>25</v>
      </c>
      <c r="E194" s="6" t="s">
        <v>3492</v>
      </c>
      <c r="F194" s="6"/>
      <c r="G194" s="6" t="s">
        <v>2935</v>
      </c>
    </row>
    <row r="195" customFormat="false" ht="15" hidden="false" customHeight="false" outlineLevel="0" collapsed="false">
      <c r="A195" s="6" t="s">
        <v>3126</v>
      </c>
      <c r="B195" s="6" t="s">
        <v>1796</v>
      </c>
      <c r="C195" s="6" t="s">
        <v>3543</v>
      </c>
      <c r="D195" s="11" t="n">
        <v>6</v>
      </c>
      <c r="E195" s="6" t="s">
        <v>3508</v>
      </c>
      <c r="F195" s="6"/>
      <c r="G195" s="6" t="s">
        <v>2935</v>
      </c>
    </row>
    <row r="196" customFormat="false" ht="15" hidden="false" customHeight="false" outlineLevel="0" collapsed="false">
      <c r="A196" s="6" t="s">
        <v>3544</v>
      </c>
      <c r="B196" s="6" t="s">
        <v>1796</v>
      </c>
      <c r="C196" s="6" t="s">
        <v>3545</v>
      </c>
      <c r="D196" s="11" t="n">
        <v>1.2</v>
      </c>
      <c r="E196" s="6" t="s">
        <v>3025</v>
      </c>
      <c r="F196" s="6"/>
      <c r="G196" s="6" t="s">
        <v>2935</v>
      </c>
    </row>
    <row r="197" customFormat="false" ht="15" hidden="false" customHeight="false" outlineLevel="0" collapsed="false">
      <c r="A197" s="6" t="s">
        <v>3546</v>
      </c>
      <c r="B197" s="6" t="s">
        <v>689</v>
      </c>
      <c r="C197" s="6" t="s">
        <v>3547</v>
      </c>
      <c r="D197" s="11" t="n">
        <v>2</v>
      </c>
      <c r="E197" s="6" t="s">
        <v>3224</v>
      </c>
      <c r="F197" s="6" t="s">
        <v>3548</v>
      </c>
      <c r="G197" s="6" t="s">
        <v>2868</v>
      </c>
    </row>
    <row r="198" customFormat="false" ht="15" hidden="false" customHeight="false" outlineLevel="0" collapsed="false">
      <c r="A198" s="6" t="s">
        <v>3549</v>
      </c>
      <c r="B198" s="6" t="s">
        <v>689</v>
      </c>
      <c r="C198" s="6" t="s">
        <v>3550</v>
      </c>
      <c r="D198" s="11" t="n">
        <v>0.75</v>
      </c>
      <c r="E198" s="6" t="s">
        <v>3224</v>
      </c>
      <c r="F198" s="6" t="s">
        <v>3551</v>
      </c>
      <c r="G198" s="6" t="s">
        <v>2868</v>
      </c>
    </row>
    <row r="199" customFormat="false" ht="15" hidden="false" customHeight="false" outlineLevel="0" collapsed="false">
      <c r="A199" s="6" t="s">
        <v>3552</v>
      </c>
      <c r="B199" s="6" t="s">
        <v>689</v>
      </c>
      <c r="C199" s="6" t="s">
        <v>3553</v>
      </c>
      <c r="D199" s="11" t="n">
        <v>3</v>
      </c>
      <c r="E199" s="6" t="s">
        <v>3224</v>
      </c>
      <c r="F199" s="6"/>
      <c r="G199" s="6" t="s">
        <v>2868</v>
      </c>
    </row>
    <row r="200" customFormat="false" ht="15" hidden="false" customHeight="false" outlineLevel="0" collapsed="false">
      <c r="A200" s="6" t="s">
        <v>3554</v>
      </c>
      <c r="B200" s="6" t="s">
        <v>689</v>
      </c>
      <c r="C200" s="6" t="s">
        <v>3555</v>
      </c>
      <c r="D200" s="11" t="n">
        <v>0.5</v>
      </c>
      <c r="E200" s="6" t="s">
        <v>3224</v>
      </c>
      <c r="F200" s="6" t="s">
        <v>3556</v>
      </c>
      <c r="G200" s="6" t="s">
        <v>2868</v>
      </c>
    </row>
    <row r="201" customFormat="false" ht="15" hidden="false" customHeight="false" outlineLevel="0" collapsed="false">
      <c r="A201" s="6" t="s">
        <v>3557</v>
      </c>
      <c r="B201" s="6" t="s">
        <v>689</v>
      </c>
      <c r="C201" s="6" t="s">
        <v>3558</v>
      </c>
      <c r="D201" s="11" t="n">
        <v>0.33</v>
      </c>
      <c r="E201" s="6" t="s">
        <v>3224</v>
      </c>
      <c r="F201" s="6" t="s">
        <v>3559</v>
      </c>
      <c r="G201" s="6" t="s">
        <v>2868</v>
      </c>
    </row>
    <row r="202" customFormat="false" ht="15" hidden="false" customHeight="false" outlineLevel="0" collapsed="false">
      <c r="A202" s="6" t="s">
        <v>3560</v>
      </c>
      <c r="B202" s="6" t="s">
        <v>689</v>
      </c>
      <c r="C202" s="6" t="s">
        <v>3561</v>
      </c>
      <c r="D202" s="9" t="n">
        <f aca="false">4*($D$197+$D$198)*$D$198*$D$199</f>
        <v>24.75</v>
      </c>
      <c r="E202" s="6" t="s">
        <v>3114</v>
      </c>
      <c r="F202" s="6" t="s">
        <v>3562</v>
      </c>
      <c r="G202" s="6" t="s">
        <v>2486</v>
      </c>
    </row>
    <row r="203" customFormat="false" ht="15" hidden="false" customHeight="false" outlineLevel="0" collapsed="false">
      <c r="A203" s="6" t="s">
        <v>3563</v>
      </c>
      <c r="B203" s="6" t="s">
        <v>689</v>
      </c>
      <c r="C203" s="6" t="s">
        <v>3564</v>
      </c>
      <c r="D203" s="9" t="n">
        <f aca="false">($D$197+2*$D$198+1)^2*$D$200</f>
        <v>10.125</v>
      </c>
      <c r="E203" s="6" t="s">
        <v>3114</v>
      </c>
      <c r="F203" s="6" t="s">
        <v>3565</v>
      </c>
      <c r="G203" s="6" t="s">
        <v>2486</v>
      </c>
    </row>
    <row r="204" customFormat="false" ht="15" hidden="false" customHeight="false" outlineLevel="0" collapsed="false">
      <c r="A204" s="6" t="s">
        <v>3566</v>
      </c>
      <c r="B204" s="6" t="s">
        <v>689</v>
      </c>
      <c r="C204" s="6" t="s">
        <v>3567</v>
      </c>
      <c r="D204" s="9" t="n">
        <f aca="false">($D$197+2*$D$198)^2*$D$201</f>
        <v>4.0425</v>
      </c>
      <c r="E204" s="6" t="s">
        <v>3114</v>
      </c>
      <c r="F204" s="6"/>
      <c r="G204" s="6" t="s">
        <v>2486</v>
      </c>
    </row>
    <row r="205" customFormat="false" ht="15" hidden="false" customHeight="false" outlineLevel="0" collapsed="false">
      <c r="A205" s="6" t="s">
        <v>3568</v>
      </c>
      <c r="B205" s="6" t="s">
        <v>689</v>
      </c>
      <c r="C205" s="6" t="s">
        <v>3569</v>
      </c>
      <c r="D205" s="9" t="n">
        <f aca="false">4*$D$197*$D$199+$D$197^2</f>
        <v>28</v>
      </c>
      <c r="E205" s="6" t="s">
        <v>3570</v>
      </c>
      <c r="F205" s="6"/>
      <c r="G205" s="6" t="s">
        <v>2486</v>
      </c>
    </row>
    <row r="206" customFormat="false" ht="15" hidden="false" customHeight="false" outlineLevel="0" collapsed="false">
      <c r="A206" s="6" t="s">
        <v>3109</v>
      </c>
      <c r="B206" s="6" t="s">
        <v>689</v>
      </c>
      <c r="C206" s="6" t="s">
        <v>3571</v>
      </c>
      <c r="D206" s="9" t="n">
        <f aca="false">$D$202*$D$17</f>
        <v>324.283095149945</v>
      </c>
      <c r="E206" s="6" t="s">
        <v>3110</v>
      </c>
      <c r="F206" s="6"/>
      <c r="G206" s="6" t="s">
        <v>2486</v>
      </c>
    </row>
    <row r="207" customFormat="false" ht="15" hidden="false" customHeight="false" outlineLevel="0" collapsed="false">
      <c r="A207" s="6" t="s">
        <v>3111</v>
      </c>
      <c r="B207" s="6" t="s">
        <v>689</v>
      </c>
      <c r="C207" s="6" t="s">
        <v>3572</v>
      </c>
      <c r="D207" s="9" t="n">
        <f aca="false">$D$202*$D$19*Mix_Design!$J$8+$D$203*Mix_Design!$J$2+$D$204*Mix_Design!$J$4+$D$205*$D$36*Mix_Design!$J$7</f>
        <v>3.28886191485561</v>
      </c>
      <c r="E207" s="6" t="s">
        <v>3573</v>
      </c>
      <c r="F207" s="6"/>
      <c r="G207" s="6" t="s">
        <v>2486</v>
      </c>
    </row>
    <row r="208" customFormat="false" ht="15" hidden="false" customHeight="false" outlineLevel="0" collapsed="false">
      <c r="A208" s="6" t="s">
        <v>3113</v>
      </c>
      <c r="B208" s="6" t="s">
        <v>689</v>
      </c>
      <c r="C208" s="6" t="s">
        <v>3574</v>
      </c>
      <c r="D208" s="9" t="n">
        <f aca="false">$D$202*$D$19*Mix_Design!$K$8+$D$203*Mix_Design!$K$2+$D$204*Mix_Design!$K$4+$D$205*$D$36*Mix_Design!$K$7</f>
        <v>13.8870738700766</v>
      </c>
      <c r="E208" s="6" t="s">
        <v>3114</v>
      </c>
      <c r="F208" s="6"/>
      <c r="G208" s="6" t="s">
        <v>2486</v>
      </c>
    </row>
    <row r="209" customFormat="false" ht="15" hidden="false" customHeight="false" outlineLevel="0" collapsed="false">
      <c r="A209" s="6" t="s">
        <v>3115</v>
      </c>
      <c r="B209" s="6" t="s">
        <v>689</v>
      </c>
      <c r="C209" s="6" t="s">
        <v>3575</v>
      </c>
      <c r="D209" s="9" t="n">
        <f aca="false">$D$203*Mix_Design!$L$2+$D$204*Mix_Design!$L$4</f>
        <v>13.1527846153846</v>
      </c>
      <c r="E209" s="6" t="s">
        <v>3114</v>
      </c>
      <c r="F209" s="6"/>
      <c r="G209" s="6" t="s">
        <v>2486</v>
      </c>
    </row>
    <row r="210" customFormat="false" ht="15" hidden="false" customHeight="false" outlineLevel="0" collapsed="false">
      <c r="A210" s="6" t="s">
        <v>3116</v>
      </c>
      <c r="B210" s="6" t="s">
        <v>689</v>
      </c>
      <c r="C210" s="6" t="s">
        <v>3576</v>
      </c>
      <c r="D210" s="9" t="n">
        <f aca="false">$D$204*$D$81*1.5</f>
        <v>14.5950199208828</v>
      </c>
      <c r="E210" s="6" t="s">
        <v>3117</v>
      </c>
      <c r="F210" s="6" t="s">
        <v>3577</v>
      </c>
      <c r="G210" s="6" t="s">
        <v>2486</v>
      </c>
    </row>
    <row r="211" customFormat="false" ht="15" hidden="false" customHeight="false" outlineLevel="0" collapsed="false">
      <c r="A211" s="6" t="s">
        <v>3118</v>
      </c>
      <c r="B211" s="6" t="s">
        <v>689</v>
      </c>
      <c r="C211" s="6" t="s">
        <v>3578</v>
      </c>
      <c r="D211" s="11" t="n">
        <v>120</v>
      </c>
      <c r="E211" s="6" t="s">
        <v>3119</v>
      </c>
      <c r="F211" s="6" t="s">
        <v>3579</v>
      </c>
      <c r="G211" s="6" t="s">
        <v>2935</v>
      </c>
    </row>
    <row r="212" customFormat="false" ht="15" hidden="false" customHeight="false" outlineLevel="0" collapsed="false">
      <c r="A212" s="6" t="s">
        <v>3120</v>
      </c>
      <c r="B212" s="6" t="s">
        <v>689</v>
      </c>
      <c r="C212" s="6" t="s">
        <v>3580</v>
      </c>
      <c r="D212" s="11" t="n">
        <v>1.5</v>
      </c>
      <c r="E212" s="6" t="s">
        <v>3581</v>
      </c>
      <c r="F212" s="6"/>
      <c r="G212" s="6" t="s">
        <v>2935</v>
      </c>
    </row>
    <row r="213" customFormat="false" ht="15" hidden="false" customHeight="false" outlineLevel="0" collapsed="false">
      <c r="A213" s="6" t="s">
        <v>3122</v>
      </c>
      <c r="B213" s="6" t="s">
        <v>689</v>
      </c>
      <c r="C213" s="6" t="s">
        <v>3582</v>
      </c>
      <c r="D213" s="11" t="n">
        <v>5</v>
      </c>
      <c r="E213" s="6" t="s">
        <v>3123</v>
      </c>
      <c r="F213" s="6"/>
      <c r="G213" s="6" t="s">
        <v>2935</v>
      </c>
    </row>
    <row r="214" customFormat="false" ht="15" hidden="false" customHeight="false" outlineLevel="0" collapsed="false">
      <c r="A214" s="6" t="s">
        <v>3124</v>
      </c>
      <c r="B214" s="6" t="s">
        <v>689</v>
      </c>
      <c r="C214" s="6" t="s">
        <v>3583</v>
      </c>
      <c r="D214" s="11" t="n">
        <v>2</v>
      </c>
      <c r="E214" s="6" t="s">
        <v>3123</v>
      </c>
      <c r="F214" s="6"/>
      <c r="G214" s="6" t="s">
        <v>2935</v>
      </c>
    </row>
    <row r="215" customFormat="false" ht="15" hidden="false" customHeight="false" outlineLevel="0" collapsed="false">
      <c r="A215" s="6" t="s">
        <v>3078</v>
      </c>
      <c r="B215" s="6" t="s">
        <v>2139</v>
      </c>
      <c r="C215" s="6" t="s">
        <v>3584</v>
      </c>
      <c r="D215" s="11" t="n">
        <v>15</v>
      </c>
      <c r="E215" s="6" t="s">
        <v>3079</v>
      </c>
      <c r="F215" s="6" t="s">
        <v>3585</v>
      </c>
      <c r="G215" s="6" t="s">
        <v>3586</v>
      </c>
    </row>
    <row r="216" customFormat="false" ht="15" hidden="false" customHeight="false" outlineLevel="0" collapsed="false">
      <c r="A216" s="6" t="s">
        <v>3080</v>
      </c>
      <c r="B216" s="6" t="s">
        <v>2139</v>
      </c>
      <c r="C216" s="6" t="s">
        <v>3587</v>
      </c>
      <c r="D216" s="9" t="n">
        <f aca="false">2*$D$215</f>
        <v>30</v>
      </c>
      <c r="E216" s="6" t="s">
        <v>3079</v>
      </c>
      <c r="F216" s="6"/>
      <c r="G216" s="6" t="s">
        <v>2486</v>
      </c>
    </row>
    <row r="217" customFormat="false" ht="15" hidden="false" customHeight="false" outlineLevel="0" collapsed="false">
      <c r="A217" s="6" t="s">
        <v>3081</v>
      </c>
      <c r="B217" s="6" t="s">
        <v>2139</v>
      </c>
      <c r="C217" s="6" t="s">
        <v>3588</v>
      </c>
      <c r="D217" s="9" t="n">
        <f aca="false">$D$215/$D$5+1</f>
        <v>5.571999853696</v>
      </c>
      <c r="E217" s="6" t="s">
        <v>3082</v>
      </c>
      <c r="F217" s="6"/>
      <c r="G217" s="6" t="s">
        <v>2486</v>
      </c>
    </row>
    <row r="218" customFormat="false" ht="15" hidden="false" customHeight="false" outlineLevel="0" collapsed="false">
      <c r="A218" s="6" t="s">
        <v>3083</v>
      </c>
      <c r="B218" s="6" t="s">
        <v>2139</v>
      </c>
      <c r="C218" s="6" t="s">
        <v>3589</v>
      </c>
      <c r="D218" s="11" t="n">
        <v>20</v>
      </c>
      <c r="E218" s="6" t="s">
        <v>3079</v>
      </c>
      <c r="F218" s="6" t="s">
        <v>3590</v>
      </c>
      <c r="G218" s="6" t="s">
        <v>2935</v>
      </c>
    </row>
    <row r="219" customFormat="false" ht="15" hidden="false" customHeight="false" outlineLevel="0" collapsed="false">
      <c r="A219" s="6" t="s">
        <v>3591</v>
      </c>
      <c r="B219" s="6" t="s">
        <v>567</v>
      </c>
      <c r="C219" s="6" t="s">
        <v>3592</v>
      </c>
      <c r="D219" s="11" t="n">
        <v>7</v>
      </c>
      <c r="E219" s="6" t="s">
        <v>3224</v>
      </c>
      <c r="F219" s="6" t="s">
        <v>3593</v>
      </c>
      <c r="G219" s="6" t="s">
        <v>3373</v>
      </c>
    </row>
    <row r="220" customFormat="false" ht="15" hidden="false" customHeight="false" outlineLevel="0" collapsed="false">
      <c r="A220" s="6" t="s">
        <v>3594</v>
      </c>
      <c r="B220" s="6" t="s">
        <v>567</v>
      </c>
      <c r="C220" s="6" t="s">
        <v>3595</v>
      </c>
      <c r="D220" s="11" t="n">
        <v>2.25</v>
      </c>
      <c r="E220" s="6" t="s">
        <v>182</v>
      </c>
      <c r="F220" s="6" t="s">
        <v>3596</v>
      </c>
      <c r="G220" s="6" t="s">
        <v>3373</v>
      </c>
    </row>
    <row r="221" customFormat="false" ht="15" hidden="false" customHeight="false" outlineLevel="0" collapsed="false">
      <c r="A221" s="6" t="s">
        <v>3140</v>
      </c>
      <c r="B221" s="6" t="s">
        <v>567</v>
      </c>
      <c r="C221" s="6" t="s">
        <v>3597</v>
      </c>
      <c r="D221" s="11" t="n">
        <v>0.5</v>
      </c>
      <c r="E221" s="6" t="s">
        <v>182</v>
      </c>
      <c r="F221" s="6" t="s">
        <v>3598</v>
      </c>
      <c r="G221" s="6" t="s">
        <v>3373</v>
      </c>
    </row>
    <row r="222" customFormat="false" ht="15" hidden="false" customHeight="false" outlineLevel="0" collapsed="false">
      <c r="A222" s="6" t="s">
        <v>3599</v>
      </c>
      <c r="B222" s="6" t="s">
        <v>567</v>
      </c>
      <c r="C222" s="6" t="s">
        <v>3600</v>
      </c>
      <c r="D222" s="11" t="n">
        <v>0.1</v>
      </c>
      <c r="E222" s="6" t="s">
        <v>83</v>
      </c>
      <c r="F222" s="6" t="s">
        <v>3601</v>
      </c>
      <c r="G222" s="6" t="s">
        <v>2935</v>
      </c>
    </row>
    <row r="223" customFormat="false" ht="15" hidden="false" customHeight="false" outlineLevel="0" collapsed="false">
      <c r="A223" s="6" t="s">
        <v>3602</v>
      </c>
      <c r="B223" s="6" t="s">
        <v>567</v>
      </c>
      <c r="C223" s="6" t="s">
        <v>3603</v>
      </c>
      <c r="D223" s="9" t="n">
        <f aca="false">($D$219*$D$20+$D$220)*(1+$D$222)</f>
        <v>8.25</v>
      </c>
      <c r="E223" s="6" t="s">
        <v>3029</v>
      </c>
      <c r="F223" s="6"/>
      <c r="G223" s="6" t="s">
        <v>2486</v>
      </c>
    </row>
    <row r="224" customFormat="false" ht="15" hidden="false" customHeight="false" outlineLevel="0" collapsed="false">
      <c r="A224" s="6" t="s">
        <v>3604</v>
      </c>
      <c r="B224" s="6" t="s">
        <v>2903</v>
      </c>
      <c r="C224" s="6" t="s">
        <v>3605</v>
      </c>
      <c r="D224" s="11" t="n">
        <v>100</v>
      </c>
      <c r="E224" s="6" t="s">
        <v>3224</v>
      </c>
      <c r="F224" s="6" t="s">
        <v>3606</v>
      </c>
      <c r="G224" s="6" t="s">
        <v>3607</v>
      </c>
    </row>
    <row r="225" customFormat="false" ht="15" hidden="false" customHeight="false" outlineLevel="0" collapsed="false">
      <c r="A225" s="6" t="s">
        <v>3608</v>
      </c>
      <c r="B225" s="6" t="s">
        <v>2903</v>
      </c>
      <c r="C225" s="6" t="s">
        <v>3609</v>
      </c>
      <c r="D225" s="11" t="n">
        <v>0.3</v>
      </c>
      <c r="E225" s="6" t="s">
        <v>83</v>
      </c>
      <c r="F225" s="6"/>
      <c r="G225" s="6" t="s">
        <v>2935</v>
      </c>
    </row>
    <row r="226" customFormat="false" ht="15" hidden="false" customHeight="false" outlineLevel="0" collapsed="false">
      <c r="A226" s="6" t="s">
        <v>3144</v>
      </c>
      <c r="B226" s="6" t="s">
        <v>2903</v>
      </c>
      <c r="C226" s="6" t="s">
        <v>3610</v>
      </c>
      <c r="D226" s="9" t="n">
        <f aca="false">$D$224*$D$225</f>
        <v>30</v>
      </c>
      <c r="E226" s="6" t="s">
        <v>3143</v>
      </c>
      <c r="F226" s="6"/>
      <c r="G226" s="6" t="s">
        <v>2486</v>
      </c>
    </row>
    <row r="227" customFormat="false" ht="15" hidden="false" customHeight="false" outlineLevel="0" collapsed="false">
      <c r="A227" s="6" t="s">
        <v>3142</v>
      </c>
      <c r="B227" s="6" t="s">
        <v>2903</v>
      </c>
      <c r="C227" s="6" t="s">
        <v>3611</v>
      </c>
      <c r="D227" s="9" t="n">
        <f aca="false">$D$224-$D$226</f>
        <v>70</v>
      </c>
      <c r="E227" s="6" t="s">
        <v>3143</v>
      </c>
      <c r="F227" s="6"/>
      <c r="G227" s="6" t="s">
        <v>2486</v>
      </c>
    </row>
    <row r="228" customFormat="false" ht="15" hidden="false" customHeight="false" outlineLevel="0" collapsed="false">
      <c r="A228" s="6" t="s">
        <v>3145</v>
      </c>
      <c r="B228" s="6" t="s">
        <v>2903</v>
      </c>
      <c r="C228" s="6" t="s">
        <v>3612</v>
      </c>
      <c r="D228" s="11" t="n">
        <v>60</v>
      </c>
      <c r="E228" s="6" t="s">
        <v>3146</v>
      </c>
      <c r="F228" s="6" t="s">
        <v>3613</v>
      </c>
      <c r="G228" s="6" t="s">
        <v>2935</v>
      </c>
    </row>
    <row r="229" customFormat="false" ht="15" hidden="false" customHeight="false" outlineLevel="0" collapsed="false">
      <c r="A229" s="6" t="s">
        <v>3614</v>
      </c>
      <c r="B229" s="6" t="s">
        <v>3153</v>
      </c>
      <c r="C229" s="6" t="s">
        <v>3615</v>
      </c>
      <c r="D229" s="11" t="n">
        <v>60</v>
      </c>
      <c r="E229" s="6" t="s">
        <v>3616</v>
      </c>
      <c r="F229" s="6" t="s">
        <v>3617</v>
      </c>
      <c r="G229" s="6" t="s">
        <v>2935</v>
      </c>
    </row>
    <row r="230" customFormat="false" ht="15" hidden="false" customHeight="false" outlineLevel="0" collapsed="false">
      <c r="A230" s="6" t="s">
        <v>3022</v>
      </c>
      <c r="B230" s="6" t="s">
        <v>2704</v>
      </c>
      <c r="C230" s="6" t="s">
        <v>3618</v>
      </c>
      <c r="D230" s="9" t="n">
        <f aca="false">$D$111*$D$106</f>
        <v>0.14</v>
      </c>
      <c r="E230" s="6" t="s">
        <v>3023</v>
      </c>
      <c r="F230" s="6"/>
      <c r="G230" s="6" t="s">
        <v>2486</v>
      </c>
    </row>
    <row r="231" customFormat="false" ht="15" hidden="false" customHeight="false" outlineLevel="0" collapsed="false">
      <c r="A231" s="6" t="s">
        <v>3136</v>
      </c>
      <c r="B231" s="6" t="s">
        <v>567</v>
      </c>
      <c r="C231" s="6" t="s">
        <v>3619</v>
      </c>
      <c r="D231" s="9" t="n">
        <f aca="false">$D$223*$D$17</f>
        <v>108.094365049981</v>
      </c>
      <c r="E231" s="6" t="s">
        <v>3031</v>
      </c>
      <c r="F231" s="6"/>
      <c r="G231" s="6" t="s">
        <v>2486</v>
      </c>
    </row>
    <row r="232" customFormat="false" ht="15" hidden="false" customHeight="false" outlineLevel="0" collapsed="false">
      <c r="A232" s="6" t="s">
        <v>3137</v>
      </c>
      <c r="B232" s="6" t="s">
        <v>567</v>
      </c>
      <c r="C232" s="6" t="s">
        <v>3620</v>
      </c>
      <c r="D232" s="9" t="n">
        <f aca="false">$D$223*$D$19</f>
        <v>1.85281377267679</v>
      </c>
      <c r="E232" s="6" t="s">
        <v>3029</v>
      </c>
      <c r="F232" s="6"/>
      <c r="G232" s="6" t="s">
        <v>2486</v>
      </c>
    </row>
    <row r="233" customFormat="false" ht="15" hidden="false" customHeight="false" outlineLevel="0" collapsed="false">
      <c r="A233" s="6" t="s">
        <v>2936</v>
      </c>
      <c r="B233" s="6" t="s">
        <v>1624</v>
      </c>
      <c r="C233" s="6" t="s">
        <v>3621</v>
      </c>
      <c r="D233" s="9" t="n">
        <f aca="false">Mix_Design!$J$4*$D$50</f>
        <v>0.179415370936182</v>
      </c>
      <c r="E233" s="6" t="s">
        <v>2937</v>
      </c>
      <c r="F233" s="6"/>
      <c r="G233" s="6" t="s">
        <v>2486</v>
      </c>
    </row>
    <row r="234" customFormat="false" ht="15" hidden="false" customHeight="false" outlineLevel="0" collapsed="false">
      <c r="A234" s="6" t="s">
        <v>2994</v>
      </c>
      <c r="B234" s="6" t="s">
        <v>1624</v>
      </c>
      <c r="C234" s="6" t="s">
        <v>3622</v>
      </c>
      <c r="D234" s="9" t="n">
        <f aca="false">$D$36*Mix_Design!$J$7*$D$50</f>
        <v>0.013558093371882</v>
      </c>
      <c r="E234" s="6" t="s">
        <v>2944</v>
      </c>
      <c r="F234" s="6"/>
      <c r="G234" s="6" t="s">
        <v>2486</v>
      </c>
    </row>
    <row r="235" customFormat="false" ht="15" hidden="false" customHeight="false" outlineLevel="0" collapsed="false">
      <c r="A235" s="6" t="s">
        <v>3011</v>
      </c>
      <c r="B235" s="6" t="s">
        <v>2663</v>
      </c>
      <c r="C235" s="6" t="s">
        <v>3623</v>
      </c>
      <c r="D235" s="9" t="n">
        <f aca="false">$D$63*0.9/$D$3</f>
        <v>0.00424752298617856</v>
      </c>
      <c r="E235" s="6" t="s">
        <v>2944</v>
      </c>
      <c r="F235" s="6"/>
      <c r="G235" s="6" t="s">
        <v>2486</v>
      </c>
    </row>
    <row r="236" customFormat="false" ht="15" hidden="false" customHeight="false" outlineLevel="0" collapsed="false">
      <c r="A236" s="6" t="s">
        <v>3624</v>
      </c>
      <c r="B236" s="6" t="s">
        <v>689</v>
      </c>
      <c r="C236" s="6" t="s">
        <v>3625</v>
      </c>
      <c r="D236" s="11" t="n">
        <v>13</v>
      </c>
      <c r="E236" s="6" t="s">
        <v>3224</v>
      </c>
      <c r="F236" s="6" t="s">
        <v>3626</v>
      </c>
      <c r="G236" s="6" t="s">
        <v>3237</v>
      </c>
    </row>
    <row r="237" customFormat="false" ht="15" hidden="false" customHeight="false" outlineLevel="0" collapsed="false">
      <c r="A237" s="6" t="s">
        <v>3627</v>
      </c>
      <c r="B237" s="6" t="s">
        <v>2139</v>
      </c>
      <c r="C237" s="6" t="s">
        <v>3628</v>
      </c>
      <c r="D237" s="11" t="n">
        <v>130</v>
      </c>
      <c r="E237" s="6" t="s">
        <v>3629</v>
      </c>
      <c r="F237" s="6" t="s">
        <v>3630</v>
      </c>
      <c r="G237" s="6" t="s">
        <v>3631</v>
      </c>
    </row>
    <row r="238" customFormat="false" ht="15" hidden="false" customHeight="false" outlineLevel="0" collapsed="false">
      <c r="A238" s="6" t="s">
        <v>3632</v>
      </c>
      <c r="B238" s="6" t="s">
        <v>1841</v>
      </c>
      <c r="C238" s="6" t="s">
        <v>3633</v>
      </c>
      <c r="D238" s="11" t="n">
        <v>90</v>
      </c>
      <c r="E238" s="6" t="s">
        <v>3634</v>
      </c>
      <c r="F238" s="6" t="s">
        <v>3635</v>
      </c>
      <c r="G238" s="6" t="s">
        <v>3237</v>
      </c>
    </row>
    <row r="239" customFormat="false" ht="15" hidden="false" customHeight="false" outlineLevel="0" collapsed="false">
      <c r="A239" s="6" t="s">
        <v>3636</v>
      </c>
      <c r="B239" s="6" t="s">
        <v>3153</v>
      </c>
      <c r="C239" s="6" t="s">
        <v>3637</v>
      </c>
      <c r="D239" s="11" t="n">
        <v>100</v>
      </c>
      <c r="E239" s="6" t="s">
        <v>3638</v>
      </c>
      <c r="F239" s="6" t="s">
        <v>3639</v>
      </c>
      <c r="G239" s="6" t="s">
        <v>3237</v>
      </c>
    </row>
  </sheetData>
  <autoFilter ref="A1:G2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36"/>
    <col collapsed="false" customWidth="true" hidden="false" outlineLevel="0" max="5" min="4" style="0" width="8"/>
    <col collapsed="false" customWidth="true" hidden="false" outlineLevel="0" max="7" min="6" style="0" width="9"/>
    <col collapsed="false" customWidth="true" hidden="false" outlineLevel="0" max="8" min="8" style="0" width="8"/>
    <col collapsed="false" customWidth="true" hidden="false" outlineLevel="0" max="16" min="9" style="0" width="10"/>
    <col collapsed="false" customWidth="true" hidden="false" outlineLevel="0" max="17" min="17" style="0" width="34"/>
  </cols>
  <sheetData>
    <row r="1" customFormat="false" ht="31.5" hidden="false" customHeight="true" outlineLevel="0" collapsed="false">
      <c r="A1" s="4" t="s">
        <v>3640</v>
      </c>
      <c r="B1" s="4" t="s">
        <v>3150</v>
      </c>
      <c r="C1" s="4" t="s">
        <v>3641</v>
      </c>
      <c r="D1" s="4" t="s">
        <v>3642</v>
      </c>
      <c r="E1" s="4" t="s">
        <v>3643</v>
      </c>
      <c r="F1" s="4" t="s">
        <v>3644</v>
      </c>
      <c r="G1" s="4" t="s">
        <v>3645</v>
      </c>
      <c r="H1" s="4" t="s">
        <v>3646</v>
      </c>
      <c r="I1" s="4" t="s">
        <v>3647</v>
      </c>
      <c r="J1" s="4" t="s">
        <v>3648</v>
      </c>
      <c r="K1" s="4" t="s">
        <v>3649</v>
      </c>
      <c r="L1" s="4" t="s">
        <v>3650</v>
      </c>
      <c r="M1" s="4" t="s">
        <v>3651</v>
      </c>
      <c r="N1" s="4" t="s">
        <v>3652</v>
      </c>
      <c r="O1" s="4" t="s">
        <v>3653</v>
      </c>
      <c r="P1" s="4" t="s">
        <v>3654</v>
      </c>
      <c r="Q1" s="4" t="s">
        <v>59</v>
      </c>
    </row>
    <row r="2" customFormat="false" ht="15" hidden="false" customHeight="false" outlineLevel="0" collapsed="false">
      <c r="A2" s="6" t="s">
        <v>2927</v>
      </c>
      <c r="B2" s="6" t="s">
        <v>3556</v>
      </c>
      <c r="C2" s="6" t="s">
        <v>3655</v>
      </c>
      <c r="D2" s="12" t="n">
        <v>1</v>
      </c>
      <c r="E2" s="12" t="n">
        <v>4</v>
      </c>
      <c r="F2" s="12" t="n">
        <v>8</v>
      </c>
      <c r="G2" s="13" t="n">
        <f aca="false">Coefficients!$D$10</f>
        <v>1.54</v>
      </c>
      <c r="H2" s="6" t="n">
        <f aca="false">D2+E2+F2</f>
        <v>13</v>
      </c>
      <c r="I2" s="9" t="n">
        <f aca="false">G2*D2/H2</f>
        <v>0.118461538461538</v>
      </c>
      <c r="J2" s="9" t="n">
        <f aca="false">I2/Coefficients!$D$8</f>
        <v>0.0966082766579444</v>
      </c>
      <c r="K2" s="9" t="n">
        <f aca="false">G2*E2/H2</f>
        <v>0.473846153846154</v>
      </c>
      <c r="L2" s="9" t="n">
        <f aca="false">G2*F2/H2</f>
        <v>0.947692307692308</v>
      </c>
      <c r="M2" s="14" t="n">
        <f aca="false">J2*Coefficients!$D$3</f>
        <v>3.41169230769231</v>
      </c>
      <c r="N2" s="15" t="n">
        <f aca="false">K2</f>
        <v>0.473846153846154</v>
      </c>
      <c r="O2" s="15" t="n">
        <f aca="false">L2</f>
        <v>0.947692307692308</v>
      </c>
      <c r="P2" s="14" t="n">
        <f aca="false">J2*Coefficients!$D$7*Coefficients!$D$9</f>
        <v>2.41520691644861</v>
      </c>
      <c r="Q2" s="6" t="s">
        <v>3656</v>
      </c>
    </row>
    <row r="3" customFormat="false" ht="15" hidden="false" customHeight="false" outlineLevel="0" collapsed="false">
      <c r="A3" s="6" t="s">
        <v>3657</v>
      </c>
      <c r="B3" s="6" t="s">
        <v>3658</v>
      </c>
      <c r="C3" s="6" t="s">
        <v>3659</v>
      </c>
      <c r="D3" s="12" t="n">
        <v>1</v>
      </c>
      <c r="E3" s="12" t="n">
        <v>3</v>
      </c>
      <c r="F3" s="12" t="n">
        <v>6</v>
      </c>
      <c r="G3" s="13" t="n">
        <f aca="false">Coefficients!$D$10</f>
        <v>1.54</v>
      </c>
      <c r="H3" s="6" t="n">
        <f aca="false">D3+E3+F3</f>
        <v>10</v>
      </c>
      <c r="I3" s="9" t="n">
        <f aca="false">G3*D3/H3</f>
        <v>0.154</v>
      </c>
      <c r="J3" s="9" t="n">
        <f aca="false">I3/Coefficients!$D$8</f>
        <v>0.125590759655328</v>
      </c>
      <c r="K3" s="9" t="n">
        <f aca="false">G3*E3/H3</f>
        <v>0.462</v>
      </c>
      <c r="L3" s="9" t="n">
        <f aca="false">G3*F3/H3</f>
        <v>0.924</v>
      </c>
      <c r="M3" s="14" t="n">
        <f aca="false">J3*Coefficients!$D$3</f>
        <v>4.4352</v>
      </c>
      <c r="N3" s="15" t="n">
        <f aca="false">K3</f>
        <v>0.462</v>
      </c>
      <c r="O3" s="15" t="n">
        <f aca="false">L3</f>
        <v>0.924</v>
      </c>
      <c r="P3" s="14" t="n">
        <f aca="false">J3*Coefficients!$D$7*Coefficients!$D$9</f>
        <v>3.13976899138319</v>
      </c>
      <c r="Q3" s="6"/>
    </row>
    <row r="4" customFormat="false" ht="22.35" hidden="false" customHeight="false" outlineLevel="0" collapsed="false">
      <c r="A4" s="6" t="s">
        <v>2932</v>
      </c>
      <c r="B4" s="6" t="s">
        <v>3660</v>
      </c>
      <c r="C4" s="6" t="s">
        <v>3661</v>
      </c>
      <c r="D4" s="12" t="n">
        <v>1</v>
      </c>
      <c r="E4" s="12" t="n">
        <v>2</v>
      </c>
      <c r="F4" s="12" t="n">
        <v>4</v>
      </c>
      <c r="G4" s="13" t="n">
        <f aca="false">Coefficients!$D$10</f>
        <v>1.54</v>
      </c>
      <c r="H4" s="6" t="n">
        <f aca="false">D4+E4+F4</f>
        <v>7</v>
      </c>
      <c r="I4" s="9" t="n">
        <f aca="false">G4*D4/H4</f>
        <v>0.22</v>
      </c>
      <c r="J4" s="9" t="n">
        <f aca="false">I4/Coefficients!$D$8</f>
        <v>0.179415370936182</v>
      </c>
      <c r="K4" s="9" t="n">
        <f aca="false">G4*E4/H4</f>
        <v>0.44</v>
      </c>
      <c r="L4" s="9" t="n">
        <f aca="false">G4*F4/H4</f>
        <v>0.88</v>
      </c>
      <c r="M4" s="14" t="n">
        <f aca="false">J4*Coefficients!$D$3</f>
        <v>6.336</v>
      </c>
      <c r="N4" s="15" t="n">
        <f aca="false">K4</f>
        <v>0.44</v>
      </c>
      <c r="O4" s="15" t="n">
        <f aca="false">L4</f>
        <v>0.88</v>
      </c>
      <c r="P4" s="14" t="n">
        <f aca="false">J4*Coefficients!$D$7*Coefficients!$D$9</f>
        <v>4.48538427340456</v>
      </c>
      <c r="Q4" s="6" t="s">
        <v>3662</v>
      </c>
    </row>
    <row r="5" customFormat="false" ht="22.35" hidden="false" customHeight="false" outlineLevel="0" collapsed="false">
      <c r="A5" s="6" t="s">
        <v>3663</v>
      </c>
      <c r="B5" s="6" t="s">
        <v>3664</v>
      </c>
      <c r="C5" s="6" t="s">
        <v>3665</v>
      </c>
      <c r="D5" s="12" t="n">
        <v>1</v>
      </c>
      <c r="E5" s="12" t="n">
        <v>1.5</v>
      </c>
      <c r="F5" s="12" t="n">
        <v>3</v>
      </c>
      <c r="G5" s="13" t="n">
        <f aca="false">Coefficients!$D$10</f>
        <v>1.54</v>
      </c>
      <c r="H5" s="6" t="n">
        <f aca="false">D5+E5+F5</f>
        <v>5.5</v>
      </c>
      <c r="I5" s="9" t="n">
        <f aca="false">G5*D5/H5</f>
        <v>0.28</v>
      </c>
      <c r="J5" s="9" t="n">
        <f aca="false">I5/Coefficients!$D$8</f>
        <v>0.228346835736959</v>
      </c>
      <c r="K5" s="9" t="n">
        <f aca="false">G5*E5/H5</f>
        <v>0.42</v>
      </c>
      <c r="L5" s="9" t="n">
        <f aca="false">G5*F5/H5</f>
        <v>0.84</v>
      </c>
      <c r="M5" s="14" t="n">
        <f aca="false">J5*Coefficients!$D$3</f>
        <v>8.064</v>
      </c>
      <c r="N5" s="15" t="n">
        <f aca="false">K5</f>
        <v>0.42</v>
      </c>
      <c r="O5" s="15" t="n">
        <f aca="false">L5</f>
        <v>0.84</v>
      </c>
      <c r="P5" s="14" t="n">
        <f aca="false">J5*Coefficients!$D$7*Coefficients!$D$9</f>
        <v>5.70867089342399</v>
      </c>
      <c r="Q5" s="6" t="s">
        <v>3666</v>
      </c>
    </row>
    <row r="6" customFormat="false" ht="15" hidden="false" customHeight="false" outlineLevel="0" collapsed="false">
      <c r="A6" s="6" t="s">
        <v>2940</v>
      </c>
      <c r="B6" s="6" t="s">
        <v>3667</v>
      </c>
      <c r="C6" s="6" t="s">
        <v>3668</v>
      </c>
      <c r="D6" s="12" t="n">
        <v>1</v>
      </c>
      <c r="E6" s="12" t="n">
        <v>2</v>
      </c>
      <c r="F6" s="12" t="n">
        <v>4</v>
      </c>
      <c r="G6" s="13" t="n">
        <f aca="false">Coefficients!$D$10</f>
        <v>1.54</v>
      </c>
      <c r="H6" s="6" t="n">
        <f aca="false">D6+E6+F6</f>
        <v>7</v>
      </c>
      <c r="I6" s="9" t="n">
        <f aca="false">G6*D6/H6</f>
        <v>0.22</v>
      </c>
      <c r="J6" s="9" t="n">
        <f aca="false">I6/Coefficients!$D$8</f>
        <v>0.179415370936182</v>
      </c>
      <c r="K6" s="9" t="n">
        <f aca="false">G6*E6/H6</f>
        <v>0.44</v>
      </c>
      <c r="L6" s="9" t="n">
        <f aca="false">G6*F6/H6</f>
        <v>0.88</v>
      </c>
      <c r="M6" s="14" t="n">
        <f aca="false">J6*Coefficients!$D$3</f>
        <v>6.336</v>
      </c>
      <c r="N6" s="15" t="n">
        <f aca="false">K6</f>
        <v>0.44</v>
      </c>
      <c r="O6" s="15" t="n">
        <f aca="false">L6</f>
        <v>0.88</v>
      </c>
      <c r="P6" s="14" t="n">
        <f aca="false">J6*Coefficients!$D$7*Coefficients!$D$9</f>
        <v>4.48538427340456</v>
      </c>
      <c r="Q6" s="6" t="s">
        <v>2583</v>
      </c>
    </row>
    <row r="7" customFormat="false" ht="15" hidden="false" customHeight="false" outlineLevel="0" collapsed="false">
      <c r="A7" s="6" t="s">
        <v>2993</v>
      </c>
      <c r="B7" s="6" t="s">
        <v>3669</v>
      </c>
      <c r="C7" s="6" t="s">
        <v>3670</v>
      </c>
      <c r="D7" s="12" t="n">
        <v>1</v>
      </c>
      <c r="E7" s="12" t="n">
        <v>3</v>
      </c>
      <c r="F7" s="12" t="n">
        <v>0</v>
      </c>
      <c r="G7" s="13" t="n">
        <f aca="false">Coefficients!$D$11</f>
        <v>1.33</v>
      </c>
      <c r="H7" s="6" t="n">
        <f aca="false">D7+E7+F7</f>
        <v>4</v>
      </c>
      <c r="I7" s="9" t="n">
        <f aca="false">G7*D7/H7</f>
        <v>0.3325</v>
      </c>
      <c r="J7" s="9" t="n">
        <f aca="false">I7/Coefficients!$D$8</f>
        <v>0.271161867437639</v>
      </c>
      <c r="K7" s="9" t="n">
        <f aca="false">G7*E7/H7</f>
        <v>0.9975</v>
      </c>
      <c r="L7" s="9" t="n">
        <f aca="false">G7*F7/H7</f>
        <v>0</v>
      </c>
      <c r="M7" s="14" t="n">
        <f aca="false">J7*Coefficients!$D$3</f>
        <v>9.576</v>
      </c>
      <c r="N7" s="15" t="n">
        <f aca="false">K7</f>
        <v>0.9975</v>
      </c>
      <c r="O7" s="15" t="n">
        <f aca="false">L7</f>
        <v>0</v>
      </c>
      <c r="P7" s="14" t="n">
        <f aca="false">J7*Coefficients!$D$7*Coefficients!$D$9</f>
        <v>6.77904668594098</v>
      </c>
      <c r="Q7" s="6"/>
    </row>
    <row r="8" customFormat="false" ht="22.35" hidden="false" customHeight="false" outlineLevel="0" collapsed="false">
      <c r="A8" s="6" t="s">
        <v>2979</v>
      </c>
      <c r="B8" s="6" t="s">
        <v>3671</v>
      </c>
      <c r="C8" s="6" t="s">
        <v>3672</v>
      </c>
      <c r="D8" s="12" t="n">
        <v>1</v>
      </c>
      <c r="E8" s="12" t="n">
        <v>4</v>
      </c>
      <c r="F8" s="12" t="n">
        <v>0</v>
      </c>
      <c r="G8" s="13" t="n">
        <f aca="false">Coefficients!$D$11</f>
        <v>1.33</v>
      </c>
      <c r="H8" s="6" t="n">
        <f aca="false">D8+E8+F8</f>
        <v>5</v>
      </c>
      <c r="I8" s="9" t="n">
        <f aca="false">G8*D8/H8</f>
        <v>0.266</v>
      </c>
      <c r="J8" s="9" t="n">
        <f aca="false">I8/Coefficients!$D$8</f>
        <v>0.216929493950111</v>
      </c>
      <c r="K8" s="9" t="n">
        <f aca="false">G8*E8/H8</f>
        <v>1.064</v>
      </c>
      <c r="L8" s="9" t="n">
        <f aca="false">G8*F8/H8</f>
        <v>0</v>
      </c>
      <c r="M8" s="14" t="n">
        <f aca="false">J8*Coefficients!$D$3</f>
        <v>7.6608</v>
      </c>
      <c r="N8" s="15" t="n">
        <f aca="false">K8</f>
        <v>1.064</v>
      </c>
      <c r="O8" s="15" t="n">
        <f aca="false">L8</f>
        <v>0</v>
      </c>
      <c r="P8" s="14" t="n">
        <f aca="false">J8*Coefficients!$D$7*Coefficients!$D$9</f>
        <v>5.42323734875279</v>
      </c>
      <c r="Q8" s="6" t="s">
        <v>3673</v>
      </c>
    </row>
    <row r="9" customFormat="false" ht="15" hidden="false" customHeight="false" outlineLevel="0" collapsed="false">
      <c r="A9" s="6" t="s">
        <v>3674</v>
      </c>
      <c r="B9" s="6" t="s">
        <v>3675</v>
      </c>
      <c r="C9" s="6" t="s">
        <v>3676</v>
      </c>
      <c r="D9" s="12" t="n">
        <v>1</v>
      </c>
      <c r="E9" s="12" t="n">
        <v>5</v>
      </c>
      <c r="F9" s="12" t="n">
        <v>0</v>
      </c>
      <c r="G9" s="13" t="n">
        <f aca="false">Coefficients!$D$11</f>
        <v>1.33</v>
      </c>
      <c r="H9" s="6" t="n">
        <f aca="false">D9+E9+F9</f>
        <v>6</v>
      </c>
      <c r="I9" s="9" t="n">
        <f aca="false">G9*D9/H9</f>
        <v>0.221666666666667</v>
      </c>
      <c r="J9" s="9" t="n">
        <f aca="false">I9/Coefficients!$D$8</f>
        <v>0.18077457829176</v>
      </c>
      <c r="K9" s="9" t="n">
        <f aca="false">G9*E9/H9</f>
        <v>1.10833333333333</v>
      </c>
      <c r="L9" s="9" t="n">
        <f aca="false">G9*F9/H9</f>
        <v>0</v>
      </c>
      <c r="M9" s="14" t="n">
        <f aca="false">J9*Coefficients!$D$3</f>
        <v>6.384</v>
      </c>
      <c r="N9" s="15" t="n">
        <f aca="false">K9</f>
        <v>1.10833333333333</v>
      </c>
      <c r="O9" s="15" t="n">
        <f aca="false">L9</f>
        <v>0</v>
      </c>
      <c r="P9" s="14" t="n">
        <f aca="false">J9*Coefficients!$D$7*Coefficients!$D$9</f>
        <v>4.51936445729399</v>
      </c>
      <c r="Q9" s="6"/>
    </row>
    <row r="10" customFormat="false" ht="15" hidden="false" customHeight="false" outlineLevel="0" collapsed="false">
      <c r="A10" s="6" t="s">
        <v>2976</v>
      </c>
      <c r="B10" s="6" t="s">
        <v>3677</v>
      </c>
      <c r="C10" s="6" t="s">
        <v>3678</v>
      </c>
      <c r="D10" s="12" t="n">
        <v>1</v>
      </c>
      <c r="E10" s="12" t="n">
        <v>6</v>
      </c>
      <c r="F10" s="12" t="n">
        <v>0</v>
      </c>
      <c r="G10" s="13" t="n">
        <f aca="false">Coefficients!$D$11</f>
        <v>1.33</v>
      </c>
      <c r="H10" s="6" t="n">
        <f aca="false">D10+E10+F10</f>
        <v>7</v>
      </c>
      <c r="I10" s="9" t="n">
        <f aca="false">G10*D10/H10</f>
        <v>0.19</v>
      </c>
      <c r="J10" s="9" t="n">
        <f aca="false">I10/Coefficients!$D$8</f>
        <v>0.154949638535794</v>
      </c>
      <c r="K10" s="9" t="n">
        <f aca="false">G10*E10/H10</f>
        <v>1.14</v>
      </c>
      <c r="L10" s="9" t="n">
        <f aca="false">G10*F10/H10</f>
        <v>0</v>
      </c>
      <c r="M10" s="14" t="n">
        <f aca="false">J10*Coefficients!$D$3</f>
        <v>5.472</v>
      </c>
      <c r="N10" s="15" t="n">
        <f aca="false">K10</f>
        <v>1.14</v>
      </c>
      <c r="O10" s="15" t="n">
        <f aca="false">L10</f>
        <v>0</v>
      </c>
      <c r="P10" s="14" t="n">
        <f aca="false">J10*Coefficients!$D$7*Coefficients!$D$9</f>
        <v>3.87374096339485</v>
      </c>
      <c r="Q10" s="6" t="s">
        <v>3679</v>
      </c>
    </row>
  </sheetData>
  <autoFilter ref="A1:Q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4" min="3" style="0" width="8"/>
    <col collapsed="false" customWidth="true" hidden="false" outlineLevel="0" max="5" min="5" style="0" width="30"/>
    <col collapsed="false" customWidth="true" hidden="false" outlineLevel="0" max="6" min="6" style="0" width="50"/>
    <col collapsed="false" customWidth="true" hidden="false" outlineLevel="0" max="7" min="7" style="0" width="10"/>
  </cols>
  <sheetData>
    <row r="1" customFormat="false" ht="31.5" hidden="false" customHeight="true" outlineLevel="0" collapsed="false">
      <c r="A1" s="4" t="s">
        <v>65</v>
      </c>
      <c r="B1" s="4" t="s">
        <v>3680</v>
      </c>
      <c r="C1" s="4" t="s">
        <v>3681</v>
      </c>
      <c r="D1" s="4" t="s">
        <v>3682</v>
      </c>
      <c r="E1" s="4" t="s">
        <v>3683</v>
      </c>
      <c r="F1" s="4" t="s">
        <v>3684</v>
      </c>
      <c r="G1" s="4" t="s">
        <v>3685</v>
      </c>
    </row>
    <row r="2" customFormat="false" ht="15" hidden="false" customHeight="false" outlineLevel="0" collapsed="false">
      <c r="A2" s="6" t="s">
        <v>223</v>
      </c>
      <c r="B2" s="16" t="n">
        <v>0.02</v>
      </c>
      <c r="C2" s="16" t="n">
        <v>0.01</v>
      </c>
      <c r="D2" s="16" t="n">
        <v>0.03</v>
      </c>
      <c r="E2" s="6" t="s">
        <v>3686</v>
      </c>
      <c r="F2" s="6" t="s">
        <v>3687</v>
      </c>
      <c r="G2" s="6" t="n">
        <f aca="false">COUNTIF(Material_Master!$P$2:$P$1000,A2)</f>
        <v>3</v>
      </c>
    </row>
    <row r="3" customFormat="false" ht="15" hidden="false" customHeight="false" outlineLevel="0" collapsed="false">
      <c r="A3" s="6" t="s">
        <v>171</v>
      </c>
      <c r="B3" s="16" t="n">
        <v>0.1</v>
      </c>
      <c r="C3" s="16" t="n">
        <v>0.05</v>
      </c>
      <c r="D3" s="16" t="n">
        <v>0.15</v>
      </c>
      <c r="E3" s="6" t="s">
        <v>3688</v>
      </c>
      <c r="F3" s="6" t="s">
        <v>3689</v>
      </c>
      <c r="G3" s="6" t="n">
        <f aca="false">COUNTIF(Material_Master!$P$2:$P$1000,A3)</f>
        <v>5</v>
      </c>
    </row>
    <row r="4" customFormat="false" ht="15" hidden="false" customHeight="false" outlineLevel="0" collapsed="false">
      <c r="A4" s="6" t="s">
        <v>201</v>
      </c>
      <c r="B4" s="16" t="n">
        <v>0.075</v>
      </c>
      <c r="C4" s="16" t="n">
        <v>0.05</v>
      </c>
      <c r="D4" s="16" t="n">
        <v>0.1</v>
      </c>
      <c r="E4" s="6" t="s">
        <v>3690</v>
      </c>
      <c r="F4" s="6" t="s">
        <v>3691</v>
      </c>
      <c r="G4" s="6" t="n">
        <f aca="false">COUNTIF(Material_Master!$P$2:$P$1000,A4)</f>
        <v>6</v>
      </c>
    </row>
    <row r="5" customFormat="false" ht="15" hidden="false" customHeight="false" outlineLevel="0" collapsed="false">
      <c r="A5" s="6" t="s">
        <v>364</v>
      </c>
      <c r="B5" s="16" t="n">
        <v>0.03</v>
      </c>
      <c r="C5" s="16" t="n">
        <v>0.02</v>
      </c>
      <c r="D5" s="16" t="n">
        <v>0.05</v>
      </c>
      <c r="E5" s="6" t="s">
        <v>3692</v>
      </c>
      <c r="F5" s="6" t="s">
        <v>3693</v>
      </c>
      <c r="G5" s="6" t="n">
        <f aca="false">COUNTIF(Material_Master!$P$2:$P$1000,A5)</f>
        <v>8</v>
      </c>
    </row>
    <row r="6" customFormat="false" ht="15" hidden="false" customHeight="false" outlineLevel="0" collapsed="false">
      <c r="A6" s="6" t="s">
        <v>503</v>
      </c>
      <c r="B6" s="16" t="n">
        <v>0.05</v>
      </c>
      <c r="C6" s="16" t="n">
        <v>0.03</v>
      </c>
      <c r="D6" s="16" t="n">
        <v>0.08</v>
      </c>
      <c r="E6" s="6" t="s">
        <v>3694</v>
      </c>
      <c r="F6" s="6" t="s">
        <v>3695</v>
      </c>
      <c r="G6" s="6" t="n">
        <f aca="false">COUNTIF(Material_Master!$P$2:$P$1000,A6)</f>
        <v>3</v>
      </c>
    </row>
    <row r="7" customFormat="false" ht="15" hidden="false" customHeight="false" outlineLevel="0" collapsed="false">
      <c r="A7" s="6" t="s">
        <v>534</v>
      </c>
      <c r="B7" s="16" t="n">
        <v>0.03</v>
      </c>
      <c r="C7" s="16" t="n">
        <v>0.02</v>
      </c>
      <c r="D7" s="16" t="n">
        <v>0.05</v>
      </c>
      <c r="E7" s="6" t="s">
        <v>3696</v>
      </c>
      <c r="F7" s="6" t="s">
        <v>3697</v>
      </c>
      <c r="G7" s="6" t="n">
        <f aca="false">COUNTIF(Material_Master!$P$2:$P$1000,A7)</f>
        <v>2</v>
      </c>
    </row>
    <row r="8" customFormat="false" ht="15" hidden="false" customHeight="false" outlineLevel="0" collapsed="false">
      <c r="A8" s="6" t="s">
        <v>522</v>
      </c>
      <c r="B8" s="16" t="n">
        <v>0.07</v>
      </c>
      <c r="C8" s="16" t="n">
        <v>0.05</v>
      </c>
      <c r="D8" s="16" t="n">
        <v>0.1</v>
      </c>
      <c r="E8" s="6" t="s">
        <v>3698</v>
      </c>
      <c r="F8" s="6" t="s">
        <v>3699</v>
      </c>
      <c r="G8" s="6" t="n">
        <f aca="false">COUNTIF(Material_Master!$P$2:$P$1000,A8)</f>
        <v>7</v>
      </c>
    </row>
    <row r="9" customFormat="false" ht="15" hidden="false" customHeight="false" outlineLevel="0" collapsed="false">
      <c r="A9" s="6" t="s">
        <v>577</v>
      </c>
      <c r="B9" s="16" t="n">
        <v>0.08</v>
      </c>
      <c r="C9" s="16" t="n">
        <v>0.05</v>
      </c>
      <c r="D9" s="16" t="n">
        <v>0.12</v>
      </c>
      <c r="E9" s="6" t="s">
        <v>3700</v>
      </c>
      <c r="F9" s="6" t="s">
        <v>3701</v>
      </c>
      <c r="G9" s="6" t="n">
        <f aca="false">COUNTIF(Material_Master!$P$2:$P$1000,A9)</f>
        <v>3</v>
      </c>
    </row>
    <row r="10" customFormat="false" ht="15" hidden="false" customHeight="false" outlineLevel="0" collapsed="false">
      <c r="A10" s="6" t="s">
        <v>584</v>
      </c>
      <c r="B10" s="16" t="n">
        <v>0.1</v>
      </c>
      <c r="C10" s="16" t="n">
        <v>0.08</v>
      </c>
      <c r="D10" s="16" t="n">
        <v>0.15</v>
      </c>
      <c r="E10" s="6" t="s">
        <v>3702</v>
      </c>
      <c r="F10" s="6" t="s">
        <v>3703</v>
      </c>
      <c r="G10" s="6" t="n">
        <f aca="false">COUNTIF(Material_Master!$P$2:$P$1000,A10)</f>
        <v>6</v>
      </c>
    </row>
    <row r="11" customFormat="false" ht="15" hidden="false" customHeight="false" outlineLevel="0" collapsed="false">
      <c r="A11" s="6" t="s">
        <v>623</v>
      </c>
      <c r="B11" s="16" t="n">
        <v>0.05</v>
      </c>
      <c r="C11" s="16" t="n">
        <v>0.03</v>
      </c>
      <c r="D11" s="16" t="n">
        <v>0.08</v>
      </c>
      <c r="E11" s="6" t="s">
        <v>3704</v>
      </c>
      <c r="F11" s="6" t="s">
        <v>3705</v>
      </c>
      <c r="G11" s="6" t="n">
        <f aca="false">COUNTIF(Material_Master!$P$2:$P$1000,A11)</f>
        <v>13</v>
      </c>
    </row>
    <row r="12" customFormat="false" ht="15" hidden="false" customHeight="false" outlineLevel="0" collapsed="false">
      <c r="A12" s="6" t="s">
        <v>1077</v>
      </c>
      <c r="B12" s="16" t="n">
        <v>0.05</v>
      </c>
      <c r="C12" s="16" t="n">
        <v>0.03</v>
      </c>
      <c r="D12" s="16" t="n">
        <v>0.08</v>
      </c>
      <c r="E12" s="6" t="s">
        <v>3706</v>
      </c>
      <c r="F12" s="6" t="s">
        <v>3707</v>
      </c>
      <c r="G12" s="6" t="n">
        <f aca="false">COUNTIF(Material_Master!$P$2:$P$1000,A12)</f>
        <v>1</v>
      </c>
    </row>
    <row r="13" customFormat="false" ht="15" hidden="false" customHeight="false" outlineLevel="0" collapsed="false">
      <c r="A13" s="6" t="s">
        <v>1892</v>
      </c>
      <c r="B13" s="16" t="n">
        <v>0.1</v>
      </c>
      <c r="C13" s="16" t="n">
        <v>0.05</v>
      </c>
      <c r="D13" s="16" t="n">
        <v>0.15</v>
      </c>
      <c r="E13" s="6" t="s">
        <v>3708</v>
      </c>
      <c r="F13" s="6" t="s">
        <v>3709</v>
      </c>
      <c r="G13" s="6" t="n">
        <f aca="false">COUNTIF(Material_Master!$P$2:$P$1000,A13)</f>
        <v>8</v>
      </c>
    </row>
    <row r="14" customFormat="false" ht="15" hidden="false" customHeight="false" outlineLevel="0" collapsed="false">
      <c r="A14" s="6" t="s">
        <v>1851</v>
      </c>
      <c r="B14" s="16" t="n">
        <v>0.08</v>
      </c>
      <c r="C14" s="16" t="n">
        <v>0.05</v>
      </c>
      <c r="D14" s="16" t="n">
        <v>0.1</v>
      </c>
      <c r="E14" s="6" t="s">
        <v>3710</v>
      </c>
      <c r="F14" s="6" t="s">
        <v>3711</v>
      </c>
      <c r="G14" s="6" t="n">
        <f aca="false">COUNTIF(Material_Master!$P$2:$P$1000,A14)</f>
        <v>4</v>
      </c>
    </row>
    <row r="15" customFormat="false" ht="15" hidden="false" customHeight="false" outlineLevel="0" collapsed="false">
      <c r="A15" s="6" t="s">
        <v>1304</v>
      </c>
      <c r="B15" s="16" t="n">
        <v>0.07</v>
      </c>
      <c r="C15" s="16" t="n">
        <v>0.05</v>
      </c>
      <c r="D15" s="16" t="n">
        <v>0.1</v>
      </c>
      <c r="E15" s="6" t="s">
        <v>3712</v>
      </c>
      <c r="F15" s="6" t="s">
        <v>3713</v>
      </c>
      <c r="G15" s="6" t="n">
        <f aca="false">COUNTIF(Material_Master!$P$2:$P$1000,A15)</f>
        <v>8</v>
      </c>
    </row>
    <row r="16" customFormat="false" ht="15" hidden="false" customHeight="false" outlineLevel="0" collapsed="false">
      <c r="A16" s="6" t="s">
        <v>1490</v>
      </c>
      <c r="B16" s="16" t="n">
        <v>0.05</v>
      </c>
      <c r="C16" s="16" t="n">
        <v>0.03</v>
      </c>
      <c r="D16" s="16" t="n">
        <v>0.08</v>
      </c>
      <c r="E16" s="6" t="s">
        <v>3714</v>
      </c>
      <c r="F16" s="6" t="s">
        <v>3715</v>
      </c>
      <c r="G16" s="6" t="n">
        <f aca="false">COUNTIF(Material_Master!$P$2:$P$1000,A16)</f>
        <v>10</v>
      </c>
    </row>
    <row r="17" customFormat="false" ht="15" hidden="false" customHeight="false" outlineLevel="0" collapsed="false">
      <c r="A17" s="6" t="s">
        <v>1346</v>
      </c>
      <c r="B17" s="16" t="n">
        <v>0.05</v>
      </c>
      <c r="C17" s="16" t="n">
        <v>0.03</v>
      </c>
      <c r="D17" s="16" t="n">
        <v>0.1</v>
      </c>
      <c r="E17" s="6" t="s">
        <v>3716</v>
      </c>
      <c r="F17" s="6" t="s">
        <v>3717</v>
      </c>
      <c r="G17" s="6" t="n">
        <f aca="false">COUNTIF(Material_Master!$P$2:$P$1000,A17)</f>
        <v>8</v>
      </c>
    </row>
    <row r="18" customFormat="false" ht="15" hidden="false" customHeight="false" outlineLevel="0" collapsed="false">
      <c r="A18" s="6" t="s">
        <v>465</v>
      </c>
      <c r="B18" s="16" t="n">
        <v>0.15</v>
      </c>
      <c r="C18" s="16" t="n">
        <v>0.1</v>
      </c>
      <c r="D18" s="16" t="n">
        <v>0.2</v>
      </c>
      <c r="E18" s="6" t="s">
        <v>3718</v>
      </c>
      <c r="F18" s="6" t="s">
        <v>3719</v>
      </c>
      <c r="G18" s="6" t="n">
        <f aca="false">COUNTIF(Material_Master!$P$2:$P$1000,A18)</f>
        <v>4</v>
      </c>
    </row>
    <row r="19" customFormat="false" ht="22.35" hidden="false" customHeight="false" outlineLevel="0" collapsed="false">
      <c r="A19" s="6" t="s">
        <v>453</v>
      </c>
      <c r="B19" s="16" t="n">
        <v>0.1</v>
      </c>
      <c r="C19" s="16" t="n">
        <v>0.08</v>
      </c>
      <c r="D19" s="16" t="n">
        <v>0.15</v>
      </c>
      <c r="E19" s="6" t="s">
        <v>3720</v>
      </c>
      <c r="F19" s="6" t="s">
        <v>3721</v>
      </c>
      <c r="G19" s="6" t="n">
        <f aca="false">COUNTIF(Material_Master!$P$2:$P$1000,A19)</f>
        <v>7</v>
      </c>
    </row>
    <row r="20" customFormat="false" ht="15" hidden="false" customHeight="false" outlineLevel="0" collapsed="false">
      <c r="A20" s="6" t="s">
        <v>977</v>
      </c>
      <c r="B20" s="16" t="n">
        <v>0.05</v>
      </c>
      <c r="C20" s="16" t="n">
        <v>0.03</v>
      </c>
      <c r="D20" s="16" t="n">
        <v>0.08</v>
      </c>
      <c r="E20" s="6" t="s">
        <v>972</v>
      </c>
      <c r="F20" s="6" t="s">
        <v>3722</v>
      </c>
      <c r="G20" s="6" t="n">
        <f aca="false">COUNTIF(Material_Master!$P$2:$P$1000,A20)</f>
        <v>3</v>
      </c>
    </row>
    <row r="21" customFormat="false" ht="15" hidden="false" customHeight="false" outlineLevel="0" collapsed="false">
      <c r="A21" s="6" t="s">
        <v>960</v>
      </c>
      <c r="B21" s="16" t="n">
        <v>0.05</v>
      </c>
      <c r="C21" s="16" t="n">
        <v>0.03</v>
      </c>
      <c r="D21" s="16" t="n">
        <v>0.08</v>
      </c>
      <c r="E21" s="6" t="s">
        <v>3723</v>
      </c>
      <c r="F21" s="6" t="s">
        <v>3724</v>
      </c>
      <c r="G21" s="6" t="n">
        <f aca="false">COUNTIF(Material_Master!$P$2:$P$1000,A21)</f>
        <v>3</v>
      </c>
    </row>
    <row r="22" customFormat="false" ht="15" hidden="false" customHeight="false" outlineLevel="0" collapsed="false">
      <c r="A22" s="6" t="s">
        <v>1035</v>
      </c>
      <c r="B22" s="16" t="n">
        <v>0.08</v>
      </c>
      <c r="C22" s="16" t="n">
        <v>0.05</v>
      </c>
      <c r="D22" s="16" t="n">
        <v>0.12</v>
      </c>
      <c r="E22" s="6" t="s">
        <v>3725</v>
      </c>
      <c r="F22" s="6" t="s">
        <v>3726</v>
      </c>
      <c r="G22" s="6" t="n">
        <f aca="false">COUNTIF(Material_Master!$P$2:$P$1000,A22)</f>
        <v>3</v>
      </c>
    </row>
    <row r="23" customFormat="false" ht="15" hidden="false" customHeight="false" outlineLevel="0" collapsed="false">
      <c r="A23" s="6" t="s">
        <v>210</v>
      </c>
      <c r="B23" s="16" t="n">
        <v>0.05</v>
      </c>
      <c r="C23" s="16" t="n">
        <v>0.03</v>
      </c>
      <c r="D23" s="16" t="n">
        <v>0.1</v>
      </c>
      <c r="E23" s="6" t="s">
        <v>3727</v>
      </c>
      <c r="F23" s="6" t="s">
        <v>3728</v>
      </c>
      <c r="G23" s="6" t="n">
        <f aca="false">COUNTIF(Material_Master!$P$2:$P$1000,A23)</f>
        <v>5</v>
      </c>
    </row>
    <row r="24" customFormat="false" ht="15" hidden="false" customHeight="false" outlineLevel="0" collapsed="false">
      <c r="A24" s="6" t="s">
        <v>613</v>
      </c>
      <c r="B24" s="16" t="n">
        <v>0.05</v>
      </c>
      <c r="C24" s="16" t="n">
        <v>0.03</v>
      </c>
      <c r="D24" s="16" t="n">
        <v>0.1</v>
      </c>
      <c r="E24" s="6" t="s">
        <v>3729</v>
      </c>
      <c r="F24" s="6" t="s">
        <v>3730</v>
      </c>
      <c r="G24" s="6" t="n">
        <f aca="false">COUNTIF(Material_Master!$P$2:$P$1000,A24)</f>
        <v>1</v>
      </c>
    </row>
    <row r="25" customFormat="false" ht="15" hidden="false" customHeight="false" outlineLevel="0" collapsed="false">
      <c r="A25" s="6" t="s">
        <v>306</v>
      </c>
      <c r="B25" s="16" t="n">
        <v>0.03</v>
      </c>
      <c r="C25" s="16" t="n">
        <v>0.02</v>
      </c>
      <c r="D25" s="16" t="n">
        <v>0.05</v>
      </c>
      <c r="E25" s="6" t="s">
        <v>3731</v>
      </c>
      <c r="F25" s="6" t="s">
        <v>3732</v>
      </c>
      <c r="G25" s="6" t="n">
        <f aca="false">COUNTIF(Material_Master!$P$2:$P$1000,A25)</f>
        <v>1</v>
      </c>
    </row>
    <row r="26" customFormat="false" ht="15" hidden="false" customHeight="false" outlineLevel="0" collapsed="false">
      <c r="A26" s="6" t="s">
        <v>161</v>
      </c>
      <c r="B26" s="16" t="n">
        <v>0</v>
      </c>
      <c r="C26" s="16" t="n">
        <v>0</v>
      </c>
      <c r="D26" s="16" t="n">
        <v>0</v>
      </c>
      <c r="E26" s="6" t="s">
        <v>3733</v>
      </c>
      <c r="F26" s="6" t="s">
        <v>3734</v>
      </c>
      <c r="G26" s="6" t="n">
        <f aca="false">COUNTIF(Material_Master!$P$2:$P$1000,A26)</f>
        <v>3</v>
      </c>
    </row>
    <row r="27" customFormat="false" ht="15" hidden="false" customHeight="false" outlineLevel="0" collapsed="false">
      <c r="A27" s="6" t="s">
        <v>85</v>
      </c>
      <c r="B27" s="16" t="n">
        <v>0</v>
      </c>
      <c r="C27" s="16" t="n">
        <v>0</v>
      </c>
      <c r="D27" s="16" t="n">
        <v>0</v>
      </c>
      <c r="E27" s="6" t="s">
        <v>3735</v>
      </c>
      <c r="F27" s="6" t="s">
        <v>3736</v>
      </c>
      <c r="G27" s="6" t="n">
        <f aca="false">COUNTIF(Material_Master!$P$2:$P$1000,A27)</f>
        <v>128</v>
      </c>
    </row>
    <row r="28" customFormat="false" ht="15" hidden="false" customHeight="false" outlineLevel="0" collapsed="false">
      <c r="A28" s="6" t="s">
        <v>552</v>
      </c>
      <c r="B28" s="16" t="n">
        <v>0.05</v>
      </c>
      <c r="C28" s="16" t="n">
        <v>0.03</v>
      </c>
      <c r="D28" s="16" t="n">
        <v>0.08</v>
      </c>
      <c r="E28" s="6" t="s">
        <v>3737</v>
      </c>
      <c r="F28" s="6" t="s">
        <v>3738</v>
      </c>
      <c r="G28" s="6" t="n">
        <f aca="false">COUNTIF(Material_Master!$P$2:$P$1000,A28)</f>
        <v>2</v>
      </c>
    </row>
    <row r="29" customFormat="false" ht="15" hidden="false" customHeight="false" outlineLevel="0" collapsed="false">
      <c r="A29" s="6" t="s">
        <v>849</v>
      </c>
      <c r="B29" s="16" t="n">
        <v>0.1</v>
      </c>
      <c r="C29" s="16" t="n">
        <v>0.05</v>
      </c>
      <c r="D29" s="16" t="n">
        <v>0.15</v>
      </c>
      <c r="E29" s="6" t="s">
        <v>3739</v>
      </c>
      <c r="F29" s="6" t="s">
        <v>3740</v>
      </c>
      <c r="G29" s="6" t="n">
        <f aca="false">COUNTIF(Material_Master!$P$2:$P$1000,A29)</f>
        <v>1</v>
      </c>
    </row>
    <row r="30" customFormat="false" ht="15" hidden="false" customHeight="false" outlineLevel="0" collapsed="false">
      <c r="A30" s="6" t="s">
        <v>422</v>
      </c>
      <c r="B30" s="16" t="n">
        <v>0.05</v>
      </c>
      <c r="C30" s="16" t="n">
        <v>0.03</v>
      </c>
      <c r="D30" s="16" t="n">
        <v>0.08</v>
      </c>
      <c r="E30" s="6" t="s">
        <v>3741</v>
      </c>
      <c r="F30" s="6" t="s">
        <v>3742</v>
      </c>
      <c r="G30" s="6" t="n">
        <f aca="false">COUNTIF(Material_Master!$P$2:$P$1000,A30)</f>
        <v>6</v>
      </c>
    </row>
    <row r="31" customFormat="false" ht="15" hidden="false" customHeight="false" outlineLevel="0" collapsed="false">
      <c r="A31" s="6" t="s">
        <v>1948</v>
      </c>
      <c r="B31" s="16" t="n">
        <v>0.1</v>
      </c>
      <c r="C31" s="16" t="n">
        <v>0.05</v>
      </c>
      <c r="D31" s="16" t="n">
        <v>0.15</v>
      </c>
      <c r="E31" s="6" t="s">
        <v>3743</v>
      </c>
      <c r="F31" s="6" t="s">
        <v>3744</v>
      </c>
      <c r="G31" s="6" t="n">
        <f aca="false">COUNTIF(Material_Master!$P$2:$P$1000,A31)</f>
        <v>2</v>
      </c>
    </row>
    <row r="32" customFormat="false" ht="15" hidden="false" customHeight="false" outlineLevel="0" collapsed="false">
      <c r="A32" s="6" t="s">
        <v>1922</v>
      </c>
      <c r="B32" s="16" t="n">
        <v>0.05</v>
      </c>
      <c r="C32" s="16" t="n">
        <v>0.03</v>
      </c>
      <c r="D32" s="16" t="n">
        <v>0.08</v>
      </c>
      <c r="E32" s="6" t="s">
        <v>3745</v>
      </c>
      <c r="F32" s="6" t="s">
        <v>3746</v>
      </c>
      <c r="G32" s="6" t="n">
        <f aca="false">COUNTIF(Material_Master!$P$2:$P$1000,A32)</f>
        <v>1</v>
      </c>
    </row>
    <row r="33" customFormat="false" ht="15" hidden="false" customHeight="false" outlineLevel="0" collapsed="false">
      <c r="A33" s="6" t="s">
        <v>184</v>
      </c>
      <c r="B33" s="16" t="n">
        <v>0.05</v>
      </c>
      <c r="C33" s="16" t="n">
        <v>0</v>
      </c>
      <c r="D33" s="16" t="n">
        <v>0.1</v>
      </c>
      <c r="E33" s="6" t="s">
        <v>3747</v>
      </c>
      <c r="F33" s="6" t="s">
        <v>3748</v>
      </c>
      <c r="G33" s="6" t="n">
        <f aca="false">COUNTIF(Material_Master!$P$2:$P$1000,A33)</f>
        <v>44</v>
      </c>
    </row>
  </sheetData>
  <autoFilter ref="A1:G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"/>
    <col collapsed="false" customWidth="true" hidden="false" outlineLevel="0" max="3" min="3" style="0" width="50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34"/>
    <col collapsed="false" customWidth="true" hidden="false" outlineLevel="0" max="8" min="8" style="0" width="20"/>
    <col collapsed="false" customWidth="true" hidden="false" outlineLevel="0" max="9" min="9" style="0" width="24"/>
    <col collapsed="false" customWidth="true" hidden="false" outlineLevel="0" max="10" min="10" style="0" width="26"/>
  </cols>
  <sheetData>
    <row r="1" customFormat="false" ht="31.5" hidden="false" customHeight="true" outlineLevel="0" collapsed="false">
      <c r="A1" s="4" t="s">
        <v>3749</v>
      </c>
      <c r="B1" s="4" t="s">
        <v>3149</v>
      </c>
      <c r="C1" s="4" t="s">
        <v>3150</v>
      </c>
      <c r="D1" s="4" t="s">
        <v>55</v>
      </c>
      <c r="E1" s="4" t="s">
        <v>3748</v>
      </c>
      <c r="F1" s="4" t="s">
        <v>3750</v>
      </c>
      <c r="G1" s="4" t="s">
        <v>3751</v>
      </c>
      <c r="H1" s="4" t="s">
        <v>3752</v>
      </c>
      <c r="I1" s="4" t="s">
        <v>3753</v>
      </c>
      <c r="J1" s="4" t="s">
        <v>3754</v>
      </c>
    </row>
    <row r="2" customFormat="false" ht="15" hidden="false" customHeight="false" outlineLevel="0" collapsed="false">
      <c r="A2" s="6" t="s">
        <v>3755</v>
      </c>
      <c r="B2" s="6" t="s">
        <v>3756</v>
      </c>
      <c r="C2" s="6" t="s">
        <v>3757</v>
      </c>
      <c r="D2" s="6" t="s">
        <v>3758</v>
      </c>
      <c r="E2" s="6"/>
      <c r="F2" s="6" t="s">
        <v>3758</v>
      </c>
      <c r="G2" s="6" t="s">
        <v>3759</v>
      </c>
      <c r="H2" s="6" t="s">
        <v>3760</v>
      </c>
      <c r="I2" s="6" t="s">
        <v>83</v>
      </c>
      <c r="J2" s="6" t="s">
        <v>3761</v>
      </c>
    </row>
    <row r="3" customFormat="false" ht="22.35" hidden="false" customHeight="false" outlineLevel="0" collapsed="false">
      <c r="A3" s="6" t="s">
        <v>3762</v>
      </c>
      <c r="B3" s="6" t="s">
        <v>3756</v>
      </c>
      <c r="C3" s="6" t="s">
        <v>3763</v>
      </c>
      <c r="D3" s="6" t="s">
        <v>182</v>
      </c>
      <c r="E3" s="12" t="n">
        <v>272.25</v>
      </c>
      <c r="F3" s="6" t="s">
        <v>3764</v>
      </c>
      <c r="G3" s="6" t="s">
        <v>3765</v>
      </c>
      <c r="H3" s="6" t="s">
        <v>3766</v>
      </c>
      <c r="I3" s="6" t="s">
        <v>3767</v>
      </c>
      <c r="J3" s="6" t="s">
        <v>3768</v>
      </c>
    </row>
    <row r="4" customFormat="false" ht="15" hidden="false" customHeight="false" outlineLevel="0" collapsed="false">
      <c r="A4" s="6" t="s">
        <v>3769</v>
      </c>
      <c r="B4" s="6" t="s">
        <v>1866</v>
      </c>
      <c r="C4" s="6" t="s">
        <v>3770</v>
      </c>
      <c r="D4" s="6" t="s">
        <v>3224</v>
      </c>
      <c r="E4" s="6"/>
      <c r="F4" s="6" t="s">
        <v>3764</v>
      </c>
      <c r="G4" s="6" t="s">
        <v>705</v>
      </c>
      <c r="H4" s="6" t="s">
        <v>3760</v>
      </c>
      <c r="I4" s="6" t="s">
        <v>3771</v>
      </c>
      <c r="J4" s="6" t="s">
        <v>3772</v>
      </c>
    </row>
    <row r="5" customFormat="false" ht="15" hidden="false" customHeight="false" outlineLevel="0" collapsed="false">
      <c r="A5" s="6" t="s">
        <v>3773</v>
      </c>
      <c r="B5" s="6" t="s">
        <v>1866</v>
      </c>
      <c r="C5" s="6" t="s">
        <v>3774</v>
      </c>
      <c r="D5" s="6" t="s">
        <v>3224</v>
      </c>
      <c r="E5" s="6"/>
      <c r="F5" s="6" t="s">
        <v>3764</v>
      </c>
      <c r="G5" s="6" t="s">
        <v>705</v>
      </c>
      <c r="H5" s="6" t="s">
        <v>3760</v>
      </c>
      <c r="I5" s="6" t="s">
        <v>3775</v>
      </c>
      <c r="J5" s="6" t="s">
        <v>3776</v>
      </c>
    </row>
    <row r="6" customFormat="false" ht="15" hidden="false" customHeight="false" outlineLevel="0" collapsed="false">
      <c r="A6" s="6" t="s">
        <v>3777</v>
      </c>
      <c r="B6" s="6" t="s">
        <v>1866</v>
      </c>
      <c r="C6" s="6" t="s">
        <v>3778</v>
      </c>
      <c r="D6" s="6" t="s">
        <v>3224</v>
      </c>
      <c r="E6" s="6"/>
      <c r="F6" s="6" t="s">
        <v>3764</v>
      </c>
      <c r="G6" s="6" t="s">
        <v>705</v>
      </c>
      <c r="H6" s="6" t="s">
        <v>3760</v>
      </c>
      <c r="I6" s="6"/>
      <c r="J6" s="6" t="s">
        <v>3772</v>
      </c>
    </row>
    <row r="7" customFormat="false" ht="15" hidden="false" customHeight="false" outlineLevel="0" collapsed="false">
      <c r="A7" s="6" t="s">
        <v>3779</v>
      </c>
      <c r="B7" s="6" t="s">
        <v>1866</v>
      </c>
      <c r="C7" s="6" t="s">
        <v>3780</v>
      </c>
      <c r="D7" s="6" t="s">
        <v>3224</v>
      </c>
      <c r="E7" s="6"/>
      <c r="F7" s="6" t="s">
        <v>3764</v>
      </c>
      <c r="G7" s="6" t="s">
        <v>705</v>
      </c>
      <c r="H7" s="6" t="s">
        <v>3760</v>
      </c>
      <c r="I7" s="6"/>
      <c r="J7" s="6" t="s">
        <v>3776</v>
      </c>
    </row>
    <row r="8" customFormat="false" ht="15" hidden="false" customHeight="false" outlineLevel="0" collapsed="false">
      <c r="A8" s="6" t="s">
        <v>2806</v>
      </c>
      <c r="B8" s="6" t="s">
        <v>3781</v>
      </c>
      <c r="C8" s="6" t="s">
        <v>3782</v>
      </c>
      <c r="D8" s="6" t="s">
        <v>115</v>
      </c>
      <c r="E8" s="12" t="n">
        <v>2</v>
      </c>
      <c r="F8" s="6" t="s">
        <v>3783</v>
      </c>
      <c r="G8" s="6" t="s">
        <v>1764</v>
      </c>
      <c r="H8" s="6" t="s">
        <v>3760</v>
      </c>
      <c r="I8" s="6" t="s">
        <v>3784</v>
      </c>
      <c r="J8" s="6" t="s">
        <v>3785</v>
      </c>
    </row>
    <row r="9" customFormat="false" ht="15" hidden="false" customHeight="false" outlineLevel="0" collapsed="false">
      <c r="A9" s="6" t="s">
        <v>3786</v>
      </c>
      <c r="B9" s="6" t="s">
        <v>3787</v>
      </c>
      <c r="C9" s="6" t="s">
        <v>3788</v>
      </c>
      <c r="D9" s="6" t="s">
        <v>3224</v>
      </c>
      <c r="E9" s="12" t="n">
        <v>1.5</v>
      </c>
      <c r="F9" s="6" t="s">
        <v>3764</v>
      </c>
      <c r="G9" s="6" t="s">
        <v>585</v>
      </c>
      <c r="H9" s="6" t="s">
        <v>3760</v>
      </c>
      <c r="I9" s="6" t="s">
        <v>3789</v>
      </c>
      <c r="J9" s="6" t="s">
        <v>3790</v>
      </c>
    </row>
    <row r="10" customFormat="false" ht="15" hidden="false" customHeight="false" outlineLevel="0" collapsed="false">
      <c r="A10" s="6" t="s">
        <v>3791</v>
      </c>
      <c r="B10" s="6" t="s">
        <v>3787</v>
      </c>
      <c r="C10" s="6" t="s">
        <v>3792</v>
      </c>
      <c r="D10" s="6" t="s">
        <v>3224</v>
      </c>
      <c r="E10" s="12" t="n">
        <v>11.5</v>
      </c>
      <c r="F10" s="6" t="s">
        <v>3764</v>
      </c>
      <c r="G10" s="6" t="s">
        <v>3793</v>
      </c>
      <c r="H10" s="6" t="s">
        <v>3760</v>
      </c>
      <c r="I10" s="6" t="s">
        <v>3794</v>
      </c>
      <c r="J10" s="6" t="s">
        <v>3795</v>
      </c>
    </row>
    <row r="11" customFormat="false" ht="15" hidden="false" customHeight="false" outlineLevel="0" collapsed="false">
      <c r="A11" s="6" t="s">
        <v>3796</v>
      </c>
      <c r="B11" s="6" t="s">
        <v>148</v>
      </c>
      <c r="C11" s="6" t="s">
        <v>3797</v>
      </c>
      <c r="D11" s="6" t="s">
        <v>3200</v>
      </c>
      <c r="E11" s="12" t="n">
        <v>6</v>
      </c>
      <c r="F11" s="6" t="s">
        <v>3764</v>
      </c>
      <c r="G11" s="6" t="s">
        <v>3798</v>
      </c>
      <c r="H11" s="6" t="s">
        <v>3799</v>
      </c>
      <c r="I11" s="6" t="s">
        <v>3800</v>
      </c>
      <c r="J11" s="6" t="s">
        <v>3801</v>
      </c>
    </row>
    <row r="12" customFormat="false" ht="15" hidden="false" customHeight="false" outlineLevel="0" collapsed="false">
      <c r="A12" s="6" t="s">
        <v>3802</v>
      </c>
      <c r="B12" s="6" t="s">
        <v>3787</v>
      </c>
      <c r="C12" s="6" t="s">
        <v>3803</v>
      </c>
      <c r="D12" s="6" t="s">
        <v>3224</v>
      </c>
      <c r="E12" s="12" t="n">
        <v>3</v>
      </c>
      <c r="F12" s="6" t="s">
        <v>3764</v>
      </c>
      <c r="G12" s="6" t="s">
        <v>585</v>
      </c>
      <c r="H12" s="6" t="s">
        <v>3799</v>
      </c>
      <c r="I12" s="6" t="s">
        <v>3804</v>
      </c>
      <c r="J12" s="6" t="s">
        <v>3805</v>
      </c>
    </row>
    <row r="13" customFormat="false" ht="15" hidden="false" customHeight="false" outlineLevel="0" collapsed="false">
      <c r="A13" s="6" t="s">
        <v>3806</v>
      </c>
      <c r="B13" s="6" t="s">
        <v>3787</v>
      </c>
      <c r="C13" s="6" t="s">
        <v>3807</v>
      </c>
      <c r="D13" s="6" t="s">
        <v>3224</v>
      </c>
      <c r="E13" s="12" t="n">
        <v>8.5</v>
      </c>
      <c r="F13" s="6" t="s">
        <v>3764</v>
      </c>
      <c r="G13" s="6" t="s">
        <v>585</v>
      </c>
      <c r="H13" s="6" t="s">
        <v>3760</v>
      </c>
      <c r="I13" s="6" t="s">
        <v>3808</v>
      </c>
      <c r="J13" s="6" t="s">
        <v>3809</v>
      </c>
    </row>
    <row r="14" customFormat="false" ht="22.35" hidden="false" customHeight="false" outlineLevel="0" collapsed="false">
      <c r="A14" s="6" t="s">
        <v>531</v>
      </c>
      <c r="B14" s="6" t="s">
        <v>3810</v>
      </c>
      <c r="C14" s="6" t="s">
        <v>3811</v>
      </c>
      <c r="D14" s="6" t="s">
        <v>77</v>
      </c>
      <c r="E14" s="6"/>
      <c r="F14" s="6" t="s">
        <v>3812</v>
      </c>
      <c r="G14" s="6" t="s">
        <v>3813</v>
      </c>
      <c r="H14" s="6" t="s">
        <v>3814</v>
      </c>
      <c r="I14" s="6" t="s">
        <v>3815</v>
      </c>
      <c r="J14" s="6" t="s">
        <v>3816</v>
      </c>
    </row>
    <row r="15" customFormat="false" ht="32.8" hidden="false" customHeight="false" outlineLevel="0" collapsed="false">
      <c r="A15" s="6" t="s">
        <v>3817</v>
      </c>
      <c r="B15" s="6" t="s">
        <v>3810</v>
      </c>
      <c r="C15" s="6" t="s">
        <v>3818</v>
      </c>
      <c r="D15" s="6" t="s">
        <v>3224</v>
      </c>
      <c r="E15" s="6" t="s">
        <v>3819</v>
      </c>
      <c r="F15" s="6" t="s">
        <v>3764</v>
      </c>
      <c r="G15" s="6" t="s">
        <v>2486</v>
      </c>
      <c r="H15" s="6" t="s">
        <v>2486</v>
      </c>
      <c r="I15" s="6"/>
      <c r="J15" s="6"/>
    </row>
    <row r="16" customFormat="false" ht="22.35" hidden="false" customHeight="false" outlineLevel="0" collapsed="false">
      <c r="A16" s="6" t="s">
        <v>3820</v>
      </c>
      <c r="B16" s="6" t="s">
        <v>3821</v>
      </c>
      <c r="C16" s="6" t="s">
        <v>3822</v>
      </c>
      <c r="D16" s="6" t="s">
        <v>3812</v>
      </c>
      <c r="E16" s="6"/>
      <c r="F16" s="6" t="s">
        <v>3812</v>
      </c>
      <c r="G16" s="6" t="s">
        <v>3823</v>
      </c>
      <c r="H16" s="6" t="s">
        <v>3824</v>
      </c>
      <c r="I16" s="6" t="s">
        <v>3825</v>
      </c>
      <c r="J16" s="6" t="s">
        <v>3826</v>
      </c>
    </row>
    <row r="17" customFormat="false" ht="15" hidden="false" customHeight="false" outlineLevel="0" collapsed="false">
      <c r="A17" s="6" t="s">
        <v>904</v>
      </c>
      <c r="B17" s="6" t="s">
        <v>3821</v>
      </c>
      <c r="C17" s="6" t="s">
        <v>3827</v>
      </c>
      <c r="D17" s="6" t="s">
        <v>3812</v>
      </c>
      <c r="E17" s="6"/>
      <c r="F17" s="6" t="s">
        <v>3812</v>
      </c>
      <c r="G17" s="6" t="s">
        <v>3828</v>
      </c>
      <c r="H17" s="6" t="s">
        <v>3760</v>
      </c>
      <c r="I17" s="6"/>
      <c r="J17" s="6" t="s">
        <v>913</v>
      </c>
    </row>
    <row r="18" customFormat="false" ht="22.35" hidden="false" customHeight="false" outlineLevel="0" collapsed="false">
      <c r="A18" s="6" t="s">
        <v>241</v>
      </c>
      <c r="B18" s="6" t="s">
        <v>3829</v>
      </c>
      <c r="C18" s="6" t="s">
        <v>3830</v>
      </c>
      <c r="D18" s="6" t="s">
        <v>3812</v>
      </c>
      <c r="E18" s="6"/>
      <c r="F18" s="6" t="s">
        <v>3812</v>
      </c>
      <c r="G18" s="6" t="s">
        <v>3831</v>
      </c>
      <c r="H18" s="6" t="s">
        <v>3832</v>
      </c>
      <c r="I18" s="6" t="s">
        <v>3833</v>
      </c>
      <c r="J18" s="6" t="s">
        <v>3834</v>
      </c>
    </row>
    <row r="19" customFormat="false" ht="15" hidden="false" customHeight="false" outlineLevel="0" collapsed="false">
      <c r="A19" s="6" t="s">
        <v>3835</v>
      </c>
      <c r="B19" s="6" t="s">
        <v>3836</v>
      </c>
      <c r="C19" s="6" t="s">
        <v>3837</v>
      </c>
      <c r="D19" s="6" t="s">
        <v>77</v>
      </c>
      <c r="E19" s="6"/>
      <c r="F19" s="6" t="s">
        <v>3812</v>
      </c>
      <c r="G19" s="6" t="s">
        <v>110</v>
      </c>
      <c r="H19" s="6" t="s">
        <v>3799</v>
      </c>
      <c r="I19" s="6" t="s">
        <v>3838</v>
      </c>
      <c r="J19" s="6" t="s">
        <v>3839</v>
      </c>
    </row>
    <row r="20" customFormat="false" ht="15" hidden="false" customHeight="false" outlineLevel="0" collapsed="false">
      <c r="A20" s="6" t="s">
        <v>3840</v>
      </c>
      <c r="B20" s="6" t="s">
        <v>3836</v>
      </c>
      <c r="C20" s="6" t="s">
        <v>3841</v>
      </c>
      <c r="D20" s="6" t="s">
        <v>3812</v>
      </c>
      <c r="E20" s="6"/>
      <c r="F20" s="6" t="s">
        <v>3812</v>
      </c>
      <c r="G20" s="6" t="s">
        <v>3842</v>
      </c>
      <c r="H20" s="6" t="s">
        <v>3760</v>
      </c>
      <c r="I20" s="6"/>
      <c r="J20" s="6" t="s">
        <v>629</v>
      </c>
    </row>
    <row r="21" customFormat="false" ht="15" hidden="false" customHeight="false" outlineLevel="0" collapsed="false">
      <c r="A21" s="6" t="s">
        <v>3843</v>
      </c>
      <c r="B21" s="6" t="s">
        <v>3836</v>
      </c>
      <c r="C21" s="6" t="s">
        <v>3844</v>
      </c>
      <c r="D21" s="6" t="s">
        <v>3224</v>
      </c>
      <c r="E21" s="12" t="n">
        <v>3.5</v>
      </c>
      <c r="F21" s="6" t="s">
        <v>3764</v>
      </c>
      <c r="G21" s="6" t="s">
        <v>3842</v>
      </c>
      <c r="H21" s="6" t="s">
        <v>3760</v>
      </c>
      <c r="I21" s="6" t="s">
        <v>3845</v>
      </c>
      <c r="J21" s="6" t="s">
        <v>3846</v>
      </c>
    </row>
    <row r="22" customFormat="false" ht="15" hidden="false" customHeight="false" outlineLevel="0" collapsed="false">
      <c r="A22" s="6" t="s">
        <v>2476</v>
      </c>
      <c r="B22" s="6" t="s">
        <v>3836</v>
      </c>
      <c r="C22" s="6" t="s">
        <v>3847</v>
      </c>
      <c r="D22" s="6" t="s">
        <v>3812</v>
      </c>
      <c r="E22" s="6"/>
      <c r="F22" s="6" t="s">
        <v>3812</v>
      </c>
      <c r="G22" s="6" t="s">
        <v>3848</v>
      </c>
      <c r="H22" s="6" t="s">
        <v>3760</v>
      </c>
      <c r="I22" s="6"/>
      <c r="J22" s="6" t="s">
        <v>3849</v>
      </c>
    </row>
    <row r="23" customFormat="false" ht="15" hidden="false" customHeight="false" outlineLevel="0" collapsed="false">
      <c r="A23" s="6" t="s">
        <v>2540</v>
      </c>
      <c r="B23" s="6" t="s">
        <v>148</v>
      </c>
      <c r="C23" s="6" t="s">
        <v>3850</v>
      </c>
      <c r="D23" s="6" t="s">
        <v>3812</v>
      </c>
      <c r="E23" s="6"/>
      <c r="F23" s="6" t="s">
        <v>3812</v>
      </c>
      <c r="G23" s="6" t="s">
        <v>3851</v>
      </c>
      <c r="H23" s="6" t="s">
        <v>3760</v>
      </c>
      <c r="I23" s="6"/>
      <c r="J23" s="6" t="s">
        <v>2541</v>
      </c>
    </row>
    <row r="24" customFormat="false" ht="15" hidden="false" customHeight="false" outlineLevel="0" collapsed="false">
      <c r="A24" s="6" t="s">
        <v>2547</v>
      </c>
      <c r="B24" s="6" t="s">
        <v>148</v>
      </c>
      <c r="C24" s="6" t="s">
        <v>3852</v>
      </c>
      <c r="D24" s="6" t="s">
        <v>3812</v>
      </c>
      <c r="E24" s="6"/>
      <c r="F24" s="6" t="s">
        <v>3812</v>
      </c>
      <c r="G24" s="6" t="s">
        <v>3853</v>
      </c>
      <c r="H24" s="6" t="s">
        <v>3854</v>
      </c>
      <c r="I24" s="6"/>
      <c r="J24" s="6" t="s">
        <v>3855</v>
      </c>
    </row>
    <row r="25" customFormat="false" ht="15" hidden="false" customHeight="false" outlineLevel="0" collapsed="false">
      <c r="A25" s="6" t="s">
        <v>2534</v>
      </c>
      <c r="B25" s="6" t="s">
        <v>148</v>
      </c>
      <c r="C25" s="6" t="s">
        <v>3856</v>
      </c>
      <c r="D25" s="6" t="s">
        <v>3812</v>
      </c>
      <c r="E25" s="6"/>
      <c r="F25" s="6" t="s">
        <v>3812</v>
      </c>
      <c r="G25" s="6" t="s">
        <v>110</v>
      </c>
      <c r="H25" s="6" t="s">
        <v>3857</v>
      </c>
      <c r="I25" s="6"/>
      <c r="J25" s="6" t="s">
        <v>3855</v>
      </c>
    </row>
    <row r="26" customFormat="false" ht="43.25" hidden="false" customHeight="false" outlineLevel="0" collapsed="false">
      <c r="A26" s="6" t="s">
        <v>3858</v>
      </c>
      <c r="B26" s="6" t="s">
        <v>148</v>
      </c>
      <c r="C26" s="6" t="s">
        <v>3859</v>
      </c>
      <c r="D26" s="6" t="s">
        <v>77</v>
      </c>
      <c r="E26" s="6" t="s">
        <v>3860</v>
      </c>
      <c r="F26" s="6" t="s">
        <v>3764</v>
      </c>
      <c r="G26" s="6" t="s">
        <v>3861</v>
      </c>
      <c r="H26" s="6" t="s">
        <v>2486</v>
      </c>
      <c r="I26" s="6" t="s">
        <v>3862</v>
      </c>
      <c r="J26" s="6" t="s">
        <v>3855</v>
      </c>
    </row>
    <row r="27" customFormat="false" ht="15" hidden="false" customHeight="false" outlineLevel="0" collapsed="false">
      <c r="A27" s="6" t="s">
        <v>3863</v>
      </c>
      <c r="B27" s="6" t="s">
        <v>148</v>
      </c>
      <c r="C27" s="6" t="s">
        <v>3864</v>
      </c>
      <c r="D27" s="6" t="s">
        <v>3812</v>
      </c>
      <c r="E27" s="6"/>
      <c r="F27" s="6" t="s">
        <v>3812</v>
      </c>
      <c r="G27" s="6" t="s">
        <v>3865</v>
      </c>
      <c r="H27" s="6" t="s">
        <v>3799</v>
      </c>
      <c r="I27" s="6"/>
      <c r="J27" s="6" t="s">
        <v>3866</v>
      </c>
    </row>
    <row r="28" customFormat="false" ht="15" hidden="false" customHeight="false" outlineLevel="0" collapsed="false">
      <c r="A28" s="6" t="s">
        <v>322</v>
      </c>
      <c r="B28" s="6" t="s">
        <v>148</v>
      </c>
      <c r="C28" s="6" t="s">
        <v>3867</v>
      </c>
      <c r="D28" s="6" t="s">
        <v>182</v>
      </c>
      <c r="E28" s="6"/>
      <c r="F28" s="6" t="s">
        <v>3764</v>
      </c>
      <c r="G28" s="6" t="s">
        <v>3868</v>
      </c>
      <c r="H28" s="6" t="s">
        <v>3760</v>
      </c>
      <c r="I28" s="6"/>
      <c r="J28" s="6"/>
    </row>
    <row r="29" customFormat="false" ht="15" hidden="false" customHeight="false" outlineLevel="0" collapsed="false">
      <c r="A29" s="6" t="s">
        <v>3869</v>
      </c>
      <c r="B29" s="6" t="s">
        <v>148</v>
      </c>
      <c r="C29" s="6" t="s">
        <v>3870</v>
      </c>
      <c r="D29" s="6" t="s">
        <v>182</v>
      </c>
      <c r="E29" s="6"/>
      <c r="F29" s="6" t="s">
        <v>3764</v>
      </c>
      <c r="G29" s="6" t="s">
        <v>1764</v>
      </c>
      <c r="H29" s="6" t="s">
        <v>3799</v>
      </c>
      <c r="I29" s="6"/>
      <c r="J29" s="6"/>
    </row>
    <row r="30" customFormat="false" ht="15" hidden="false" customHeight="false" outlineLevel="0" collapsed="false">
      <c r="A30" s="6" t="s">
        <v>810</v>
      </c>
      <c r="B30" s="6" t="s">
        <v>148</v>
      </c>
      <c r="C30" s="6" t="s">
        <v>3871</v>
      </c>
      <c r="D30" s="6" t="s">
        <v>3812</v>
      </c>
      <c r="E30" s="6"/>
      <c r="F30" s="6" t="s">
        <v>3812</v>
      </c>
      <c r="G30" s="6" t="s">
        <v>3872</v>
      </c>
      <c r="H30" s="6" t="s">
        <v>3799</v>
      </c>
      <c r="I30" s="6" t="s">
        <v>3873</v>
      </c>
      <c r="J30" s="6" t="s">
        <v>3874</v>
      </c>
    </row>
    <row r="31" customFormat="false" ht="15" hidden="false" customHeight="false" outlineLevel="0" collapsed="false">
      <c r="A31" s="6" t="s">
        <v>520</v>
      </c>
      <c r="B31" s="6" t="s">
        <v>1776</v>
      </c>
      <c r="C31" s="6" t="s">
        <v>3875</v>
      </c>
      <c r="D31" s="6" t="s">
        <v>182</v>
      </c>
      <c r="E31" s="6"/>
      <c r="F31" s="6" t="s">
        <v>3764</v>
      </c>
      <c r="G31" s="6" t="s">
        <v>3876</v>
      </c>
      <c r="H31" s="6" t="s">
        <v>3760</v>
      </c>
      <c r="I31" s="6"/>
      <c r="J31" s="6"/>
    </row>
    <row r="32" customFormat="false" ht="15" hidden="false" customHeight="false" outlineLevel="0" collapsed="false">
      <c r="A32" s="6" t="s">
        <v>3877</v>
      </c>
      <c r="B32" s="6" t="s">
        <v>1776</v>
      </c>
      <c r="C32" s="6" t="s">
        <v>3878</v>
      </c>
      <c r="D32" s="6" t="s">
        <v>182</v>
      </c>
      <c r="E32" s="6"/>
      <c r="F32" s="6" t="s">
        <v>3764</v>
      </c>
      <c r="G32" s="6" t="s">
        <v>3879</v>
      </c>
      <c r="H32" s="6" t="s">
        <v>3799</v>
      </c>
      <c r="I32" s="6"/>
      <c r="J32" s="6"/>
    </row>
    <row r="33" customFormat="false" ht="15" hidden="false" customHeight="false" outlineLevel="0" collapsed="false">
      <c r="A33" s="6" t="s">
        <v>485</v>
      </c>
      <c r="B33" s="6" t="s">
        <v>567</v>
      </c>
      <c r="C33" s="6" t="s">
        <v>3880</v>
      </c>
      <c r="D33" s="6" t="s">
        <v>182</v>
      </c>
      <c r="E33" s="6"/>
      <c r="F33" s="6" t="s">
        <v>3764</v>
      </c>
      <c r="G33" s="6" t="s">
        <v>585</v>
      </c>
      <c r="H33" s="6" t="s">
        <v>3799</v>
      </c>
      <c r="I33" s="6"/>
      <c r="J33" s="6"/>
    </row>
    <row r="34" customFormat="false" ht="22.35" hidden="false" customHeight="false" outlineLevel="0" collapsed="false">
      <c r="A34" s="6" t="s">
        <v>566</v>
      </c>
      <c r="B34" s="6" t="s">
        <v>567</v>
      </c>
      <c r="C34" s="6" t="s">
        <v>3881</v>
      </c>
      <c r="D34" s="6" t="s">
        <v>3812</v>
      </c>
      <c r="E34" s="6"/>
      <c r="F34" s="6" t="s">
        <v>3812</v>
      </c>
      <c r="G34" s="6" t="s">
        <v>2304</v>
      </c>
      <c r="H34" s="6" t="s">
        <v>3882</v>
      </c>
      <c r="I34" s="6"/>
      <c r="J34" s="6"/>
    </row>
    <row r="35" customFormat="false" ht="15" hidden="false" customHeight="false" outlineLevel="0" collapsed="false">
      <c r="A35" s="6" t="s">
        <v>1186</v>
      </c>
      <c r="B35" s="6" t="s">
        <v>689</v>
      </c>
      <c r="C35" s="6" t="s">
        <v>3883</v>
      </c>
      <c r="D35" s="6" t="s">
        <v>3812</v>
      </c>
      <c r="E35" s="6"/>
      <c r="F35" s="6" t="s">
        <v>3812</v>
      </c>
      <c r="G35" s="6" t="s">
        <v>3884</v>
      </c>
      <c r="H35" s="6" t="s">
        <v>3885</v>
      </c>
      <c r="I35" s="6"/>
      <c r="J35" s="6"/>
    </row>
    <row r="36" customFormat="false" ht="15" hidden="false" customHeight="false" outlineLevel="0" collapsed="false">
      <c r="A36" s="6" t="s">
        <v>2840</v>
      </c>
      <c r="B36" s="6" t="s">
        <v>689</v>
      </c>
      <c r="C36" s="6" t="s">
        <v>3886</v>
      </c>
      <c r="D36" s="6" t="s">
        <v>115</v>
      </c>
      <c r="E36" s="6"/>
      <c r="F36" s="6" t="s">
        <v>3783</v>
      </c>
      <c r="G36" s="6" t="s">
        <v>1561</v>
      </c>
      <c r="H36" s="6" t="s">
        <v>3760</v>
      </c>
      <c r="I36" s="6"/>
      <c r="J36" s="6"/>
    </row>
    <row r="37" customFormat="false" ht="15" hidden="false" customHeight="false" outlineLevel="0" collapsed="false">
      <c r="A37" s="6" t="s">
        <v>2872</v>
      </c>
      <c r="B37" s="6" t="s">
        <v>689</v>
      </c>
      <c r="C37" s="6" t="s">
        <v>3887</v>
      </c>
      <c r="D37" s="6" t="s">
        <v>115</v>
      </c>
      <c r="E37" s="6"/>
      <c r="F37" s="6" t="s">
        <v>3783</v>
      </c>
      <c r="G37" s="6" t="s">
        <v>1561</v>
      </c>
      <c r="H37" s="6" t="s">
        <v>3760</v>
      </c>
      <c r="I37" s="6"/>
      <c r="J37" s="6"/>
    </row>
    <row r="38" customFormat="false" ht="15" hidden="false" customHeight="false" outlineLevel="0" collapsed="false">
      <c r="A38" s="6" t="s">
        <v>2867</v>
      </c>
      <c r="B38" s="6" t="s">
        <v>689</v>
      </c>
      <c r="C38" s="6" t="s">
        <v>3888</v>
      </c>
      <c r="D38" s="6" t="s">
        <v>3812</v>
      </c>
      <c r="E38" s="6"/>
      <c r="F38" s="6" t="s">
        <v>3812</v>
      </c>
      <c r="G38" s="6" t="s">
        <v>1561</v>
      </c>
      <c r="H38" s="6" t="s">
        <v>3760</v>
      </c>
      <c r="I38" s="6"/>
      <c r="J38" s="6"/>
    </row>
    <row r="39" customFormat="false" ht="15" hidden="false" customHeight="false" outlineLevel="0" collapsed="false">
      <c r="A39" s="6" t="s">
        <v>3889</v>
      </c>
      <c r="B39" s="6" t="s">
        <v>689</v>
      </c>
      <c r="C39" s="6" t="s">
        <v>3890</v>
      </c>
      <c r="D39" s="6" t="s">
        <v>115</v>
      </c>
      <c r="E39" s="6"/>
      <c r="F39" s="6" t="s">
        <v>3783</v>
      </c>
      <c r="G39" s="6" t="s">
        <v>1561</v>
      </c>
      <c r="H39" s="6" t="s">
        <v>3760</v>
      </c>
      <c r="I39" s="6"/>
      <c r="J39" s="6"/>
    </row>
    <row r="40" customFormat="false" ht="15" hidden="false" customHeight="false" outlineLevel="0" collapsed="false">
      <c r="A40" s="6" t="s">
        <v>2863</v>
      </c>
      <c r="B40" s="6" t="s">
        <v>689</v>
      </c>
      <c r="C40" s="6" t="s">
        <v>3891</v>
      </c>
      <c r="D40" s="6" t="s">
        <v>77</v>
      </c>
      <c r="E40" s="6"/>
      <c r="F40" s="6" t="s">
        <v>3764</v>
      </c>
      <c r="G40" s="6" t="s">
        <v>3892</v>
      </c>
      <c r="H40" s="6" t="s">
        <v>3799</v>
      </c>
      <c r="I40" s="6"/>
      <c r="J40" s="6"/>
    </row>
    <row r="41" customFormat="false" ht="15" hidden="false" customHeight="false" outlineLevel="0" collapsed="false">
      <c r="A41" s="6" t="s">
        <v>2855</v>
      </c>
      <c r="B41" s="6" t="s">
        <v>689</v>
      </c>
      <c r="C41" s="6" t="s">
        <v>3893</v>
      </c>
      <c r="D41" s="6" t="s">
        <v>115</v>
      </c>
      <c r="E41" s="6"/>
      <c r="F41" s="6" t="s">
        <v>3783</v>
      </c>
      <c r="G41" s="6" t="s">
        <v>3894</v>
      </c>
      <c r="H41" s="6" t="s">
        <v>3799</v>
      </c>
      <c r="I41" s="6" t="s">
        <v>3895</v>
      </c>
      <c r="J41" s="6"/>
    </row>
    <row r="42" customFormat="false" ht="15" hidden="false" customHeight="false" outlineLevel="0" collapsed="false">
      <c r="A42" s="6" t="s">
        <v>3896</v>
      </c>
      <c r="B42" s="6" t="s">
        <v>689</v>
      </c>
      <c r="C42" s="6" t="s">
        <v>3897</v>
      </c>
      <c r="D42" s="6" t="s">
        <v>3812</v>
      </c>
      <c r="E42" s="6"/>
      <c r="F42" s="6" t="s">
        <v>3812</v>
      </c>
      <c r="G42" s="6" t="s">
        <v>3898</v>
      </c>
      <c r="H42" s="6" t="s">
        <v>3760</v>
      </c>
      <c r="I42" s="6"/>
      <c r="J42" s="6"/>
    </row>
    <row r="43" customFormat="false" ht="15" hidden="false" customHeight="false" outlineLevel="0" collapsed="false">
      <c r="A43" s="6" t="s">
        <v>349</v>
      </c>
      <c r="B43" s="6" t="s">
        <v>689</v>
      </c>
      <c r="C43" s="6" t="s">
        <v>3899</v>
      </c>
      <c r="D43" s="6" t="s">
        <v>3812</v>
      </c>
      <c r="E43" s="6"/>
      <c r="F43" s="6" t="s">
        <v>3812</v>
      </c>
      <c r="G43" s="6" t="s">
        <v>691</v>
      </c>
      <c r="H43" s="6" t="s">
        <v>3760</v>
      </c>
      <c r="I43" s="6"/>
      <c r="J43" s="6" t="s">
        <v>3900</v>
      </c>
    </row>
    <row r="44" customFormat="false" ht="15" hidden="false" customHeight="false" outlineLevel="0" collapsed="false">
      <c r="A44" s="6" t="s">
        <v>1420</v>
      </c>
      <c r="B44" s="6" t="s">
        <v>689</v>
      </c>
      <c r="C44" s="6" t="s">
        <v>3901</v>
      </c>
      <c r="D44" s="6" t="s">
        <v>3812</v>
      </c>
      <c r="E44" s="6"/>
      <c r="F44" s="6" t="s">
        <v>3812</v>
      </c>
      <c r="G44" s="6" t="s">
        <v>3902</v>
      </c>
      <c r="H44" s="6" t="s">
        <v>3760</v>
      </c>
      <c r="I44" s="6"/>
      <c r="J44" s="6" t="s">
        <v>3903</v>
      </c>
    </row>
    <row r="45" customFormat="false" ht="15" hidden="false" customHeight="false" outlineLevel="0" collapsed="false">
      <c r="A45" s="6" t="s">
        <v>3904</v>
      </c>
      <c r="B45" s="6" t="s">
        <v>689</v>
      </c>
      <c r="C45" s="6" t="s">
        <v>3905</v>
      </c>
      <c r="D45" s="6" t="s">
        <v>3812</v>
      </c>
      <c r="E45" s="6"/>
      <c r="F45" s="6" t="s">
        <v>3812</v>
      </c>
      <c r="G45" s="6" t="s">
        <v>3906</v>
      </c>
      <c r="H45" s="6" t="s">
        <v>3760</v>
      </c>
      <c r="I45" s="6"/>
      <c r="J45" s="6" t="s">
        <v>3907</v>
      </c>
    </row>
    <row r="46" customFormat="false" ht="15" hidden="false" customHeight="false" outlineLevel="0" collapsed="false">
      <c r="A46" s="6" t="s">
        <v>2881</v>
      </c>
      <c r="B46" s="6" t="s">
        <v>1796</v>
      </c>
      <c r="C46" s="6" t="s">
        <v>3908</v>
      </c>
      <c r="D46" s="6" t="s">
        <v>115</v>
      </c>
      <c r="E46" s="6"/>
      <c r="F46" s="6" t="s">
        <v>3783</v>
      </c>
      <c r="G46" s="6" t="s">
        <v>1561</v>
      </c>
      <c r="H46" s="6" t="s">
        <v>3799</v>
      </c>
      <c r="I46" s="6"/>
      <c r="J46" s="6"/>
    </row>
    <row r="47" customFormat="false" ht="15" hidden="false" customHeight="false" outlineLevel="0" collapsed="false">
      <c r="A47" s="6" t="s">
        <v>2782</v>
      </c>
      <c r="B47" s="6" t="s">
        <v>1841</v>
      </c>
      <c r="C47" s="6" t="s">
        <v>3909</v>
      </c>
      <c r="D47" s="6" t="s">
        <v>3812</v>
      </c>
      <c r="E47" s="6"/>
      <c r="F47" s="6" t="s">
        <v>3812</v>
      </c>
      <c r="G47" s="6" t="s">
        <v>3910</v>
      </c>
      <c r="H47" s="6" t="s">
        <v>3911</v>
      </c>
      <c r="I47" s="6"/>
      <c r="J47" s="6"/>
    </row>
    <row r="48" customFormat="false" ht="15" hidden="false" customHeight="false" outlineLevel="0" collapsed="false">
      <c r="A48" s="6" t="s">
        <v>3912</v>
      </c>
      <c r="B48" s="6" t="s">
        <v>1841</v>
      </c>
      <c r="C48" s="6" t="s">
        <v>3913</v>
      </c>
      <c r="D48" s="6" t="s">
        <v>77</v>
      </c>
      <c r="E48" s="6"/>
      <c r="F48" s="6" t="s">
        <v>3764</v>
      </c>
      <c r="G48" s="6" t="s">
        <v>3914</v>
      </c>
      <c r="H48" s="6" t="s">
        <v>3799</v>
      </c>
      <c r="I48" s="6"/>
      <c r="J48" s="6"/>
    </row>
    <row r="49" customFormat="false" ht="15" hidden="false" customHeight="false" outlineLevel="0" collapsed="false">
      <c r="A49" s="6" t="s">
        <v>2821</v>
      </c>
      <c r="B49" s="6" t="s">
        <v>2139</v>
      </c>
      <c r="C49" s="6" t="s">
        <v>3915</v>
      </c>
      <c r="D49" s="6" t="s">
        <v>3812</v>
      </c>
      <c r="E49" s="6"/>
      <c r="F49" s="6" t="s">
        <v>3812</v>
      </c>
      <c r="G49" s="6" t="s">
        <v>3916</v>
      </c>
      <c r="H49" s="6" t="s">
        <v>3760</v>
      </c>
      <c r="I49" s="6" t="s">
        <v>3917</v>
      </c>
      <c r="J49" s="6"/>
    </row>
    <row r="50" customFormat="false" ht="15" hidden="false" customHeight="false" outlineLevel="0" collapsed="false">
      <c r="A50" s="6" t="s">
        <v>2825</v>
      </c>
      <c r="B50" s="6" t="s">
        <v>2139</v>
      </c>
      <c r="C50" s="6" t="s">
        <v>3918</v>
      </c>
      <c r="D50" s="6" t="s">
        <v>115</v>
      </c>
      <c r="E50" s="6"/>
      <c r="F50" s="6" t="s">
        <v>3783</v>
      </c>
      <c r="G50" s="6" t="s">
        <v>3916</v>
      </c>
      <c r="H50" s="6" t="s">
        <v>3760</v>
      </c>
      <c r="I50" s="6"/>
      <c r="J50" s="6"/>
    </row>
    <row r="51" customFormat="false" ht="15" hidden="false" customHeight="false" outlineLevel="0" collapsed="false">
      <c r="A51" s="6" t="s">
        <v>2809</v>
      </c>
      <c r="B51" s="6" t="s">
        <v>1841</v>
      </c>
      <c r="C51" s="6" t="s">
        <v>3919</v>
      </c>
      <c r="D51" s="6" t="s">
        <v>115</v>
      </c>
      <c r="E51" s="12" t="n">
        <v>2</v>
      </c>
      <c r="F51" s="6" t="s">
        <v>3783</v>
      </c>
      <c r="G51" s="6" t="s">
        <v>3920</v>
      </c>
      <c r="H51" s="6" t="s">
        <v>3799</v>
      </c>
      <c r="I51" s="6" t="s">
        <v>3921</v>
      </c>
      <c r="J51" s="6"/>
    </row>
    <row r="52" customFormat="false" ht="15" hidden="false" customHeight="false" outlineLevel="0" collapsed="false">
      <c r="A52" s="6" t="s">
        <v>2900</v>
      </c>
      <c r="B52" s="6" t="s">
        <v>567</v>
      </c>
      <c r="C52" s="6" t="s">
        <v>3922</v>
      </c>
      <c r="D52" s="6" t="s">
        <v>77</v>
      </c>
      <c r="E52" s="6"/>
      <c r="F52" s="6" t="s">
        <v>3764</v>
      </c>
      <c r="G52" s="6" t="s">
        <v>705</v>
      </c>
      <c r="H52" s="6" t="s">
        <v>3799</v>
      </c>
      <c r="I52" s="6"/>
      <c r="J52" s="6"/>
    </row>
    <row r="53" customFormat="false" ht="15" hidden="false" customHeight="false" outlineLevel="0" collapsed="false">
      <c r="A53" s="6" t="s">
        <v>1023</v>
      </c>
      <c r="B53" s="6" t="s">
        <v>567</v>
      </c>
      <c r="C53" s="6" t="s">
        <v>3923</v>
      </c>
      <c r="D53" s="6" t="s">
        <v>3224</v>
      </c>
      <c r="E53" s="6"/>
      <c r="F53" s="6" t="s">
        <v>3764</v>
      </c>
      <c r="G53" s="6" t="s">
        <v>3924</v>
      </c>
      <c r="H53" s="6" t="s">
        <v>3760</v>
      </c>
      <c r="I53" s="6"/>
      <c r="J53" s="6" t="s">
        <v>3925</v>
      </c>
    </row>
    <row r="54" customFormat="false" ht="15" hidden="false" customHeight="false" outlineLevel="0" collapsed="false">
      <c r="A54" s="6" t="s">
        <v>759</v>
      </c>
      <c r="B54" s="6" t="s">
        <v>567</v>
      </c>
      <c r="C54" s="6" t="s">
        <v>3926</v>
      </c>
      <c r="D54" s="6" t="s">
        <v>182</v>
      </c>
      <c r="E54" s="6"/>
      <c r="F54" s="6" t="s">
        <v>3764</v>
      </c>
      <c r="G54" s="6" t="s">
        <v>3924</v>
      </c>
      <c r="H54" s="6" t="s">
        <v>3760</v>
      </c>
      <c r="I54" s="6"/>
      <c r="J54" s="6" t="s">
        <v>3927</v>
      </c>
    </row>
    <row r="55" customFormat="false" ht="15" hidden="false" customHeight="false" outlineLevel="0" collapsed="false">
      <c r="A55" s="6" t="s">
        <v>199</v>
      </c>
      <c r="B55" s="6" t="s">
        <v>567</v>
      </c>
      <c r="C55" s="6" t="s">
        <v>3928</v>
      </c>
      <c r="D55" s="6" t="s">
        <v>182</v>
      </c>
      <c r="E55" s="6"/>
      <c r="F55" s="6" t="s">
        <v>3764</v>
      </c>
      <c r="G55" s="6" t="s">
        <v>705</v>
      </c>
      <c r="H55" s="6" t="s">
        <v>3799</v>
      </c>
      <c r="I55" s="6"/>
      <c r="J55" s="6"/>
    </row>
    <row r="56" customFormat="false" ht="15" hidden="false" customHeight="false" outlineLevel="0" collapsed="false">
      <c r="A56" s="6" t="s">
        <v>3929</v>
      </c>
      <c r="B56" s="6" t="s">
        <v>242</v>
      </c>
      <c r="C56" s="6" t="s">
        <v>3930</v>
      </c>
      <c r="D56" s="6" t="s">
        <v>3812</v>
      </c>
      <c r="E56" s="6"/>
      <c r="F56" s="6" t="s">
        <v>3812</v>
      </c>
      <c r="G56" s="6" t="s">
        <v>3879</v>
      </c>
      <c r="H56" s="6" t="s">
        <v>3799</v>
      </c>
      <c r="I56" s="6"/>
      <c r="J56" s="6"/>
    </row>
    <row r="57" customFormat="false" ht="15" hidden="false" customHeight="false" outlineLevel="0" collapsed="false">
      <c r="A57" s="6" t="s">
        <v>1175</v>
      </c>
      <c r="B57" s="6" t="s">
        <v>2891</v>
      </c>
      <c r="C57" s="6" t="s">
        <v>3931</v>
      </c>
      <c r="D57" s="6" t="s">
        <v>3812</v>
      </c>
      <c r="E57" s="6"/>
      <c r="F57" s="6" t="s">
        <v>3812</v>
      </c>
      <c r="G57" s="6" t="s">
        <v>3932</v>
      </c>
      <c r="H57" s="6" t="s">
        <v>3933</v>
      </c>
      <c r="I57" s="6"/>
      <c r="J57" s="6"/>
    </row>
    <row r="58" customFormat="false" ht="15" hidden="false" customHeight="false" outlineLevel="0" collapsed="false">
      <c r="A58" s="6" t="s">
        <v>2903</v>
      </c>
      <c r="B58" s="6" t="s">
        <v>567</v>
      </c>
      <c r="C58" s="6" t="s">
        <v>3934</v>
      </c>
      <c r="D58" s="6" t="s">
        <v>3935</v>
      </c>
      <c r="E58" s="6" t="s">
        <v>3936</v>
      </c>
      <c r="F58" s="6" t="s">
        <v>3758</v>
      </c>
      <c r="G58" s="6" t="s">
        <v>3937</v>
      </c>
      <c r="H58" s="6" t="s">
        <v>3766</v>
      </c>
      <c r="I58" s="6" t="s">
        <v>3938</v>
      </c>
      <c r="J58" s="6"/>
    </row>
    <row r="59" customFormat="false" ht="15" hidden="false" customHeight="false" outlineLevel="0" collapsed="false">
      <c r="A59" s="6" t="s">
        <v>3939</v>
      </c>
      <c r="B59" s="6" t="s">
        <v>3787</v>
      </c>
      <c r="C59" s="6" t="s">
        <v>3940</v>
      </c>
      <c r="D59" s="6" t="s">
        <v>3224</v>
      </c>
      <c r="E59" s="12" t="n">
        <v>0</v>
      </c>
      <c r="F59" s="6" t="s">
        <v>3764</v>
      </c>
      <c r="G59" s="6" t="s">
        <v>3941</v>
      </c>
      <c r="H59" s="6" t="s">
        <v>3942</v>
      </c>
      <c r="I59" s="6"/>
      <c r="J59" s="6"/>
    </row>
    <row r="60" customFormat="false" ht="15" hidden="false" customHeight="false" outlineLevel="0" collapsed="false">
      <c r="A60" s="6" t="s">
        <v>3943</v>
      </c>
      <c r="B60" s="6" t="s">
        <v>3944</v>
      </c>
      <c r="C60" s="6" t="s">
        <v>3945</v>
      </c>
      <c r="D60" s="6" t="s">
        <v>3224</v>
      </c>
      <c r="E60" s="12" t="n">
        <v>0.5</v>
      </c>
      <c r="F60" s="6" t="s">
        <v>3764</v>
      </c>
      <c r="G60" s="6" t="s">
        <v>3944</v>
      </c>
      <c r="H60" s="6" t="s">
        <v>83</v>
      </c>
      <c r="I60" s="6" t="s">
        <v>3946</v>
      </c>
      <c r="J60" s="6"/>
    </row>
    <row r="61" customFormat="false" ht="15" hidden="false" customHeight="false" outlineLevel="0" collapsed="false">
      <c r="A61" s="6" t="s">
        <v>3947</v>
      </c>
      <c r="B61" s="6" t="s">
        <v>3944</v>
      </c>
      <c r="C61" s="6" t="s">
        <v>3948</v>
      </c>
      <c r="D61" s="6" t="s">
        <v>3200</v>
      </c>
      <c r="E61" s="12" t="n">
        <v>6</v>
      </c>
      <c r="F61" s="6" t="s">
        <v>3764</v>
      </c>
      <c r="G61" s="6" t="s">
        <v>3944</v>
      </c>
      <c r="H61" s="6" t="s">
        <v>83</v>
      </c>
      <c r="I61" s="6" t="s">
        <v>3949</v>
      </c>
      <c r="J61" s="6"/>
    </row>
    <row r="62" customFormat="false" ht="15" hidden="false" customHeight="false" outlineLevel="0" collapsed="false">
      <c r="A62" s="6" t="s">
        <v>3950</v>
      </c>
      <c r="B62" s="6" t="s">
        <v>3944</v>
      </c>
      <c r="C62" s="6" t="s">
        <v>3951</v>
      </c>
      <c r="D62" s="6" t="s">
        <v>3952</v>
      </c>
      <c r="E62" s="12" t="n">
        <v>0</v>
      </c>
      <c r="F62" s="6" t="s">
        <v>3764</v>
      </c>
      <c r="G62" s="6" t="s">
        <v>3944</v>
      </c>
      <c r="H62" s="6" t="s">
        <v>83</v>
      </c>
      <c r="I62" s="6" t="s">
        <v>3953</v>
      </c>
      <c r="J62" s="6"/>
    </row>
    <row r="63" customFormat="false" ht="15" hidden="false" customHeight="false" outlineLevel="0" collapsed="false">
      <c r="A63" s="6" t="s">
        <v>3954</v>
      </c>
      <c r="B63" s="6" t="s">
        <v>3944</v>
      </c>
      <c r="C63" s="6" t="s">
        <v>3955</v>
      </c>
      <c r="D63" s="6" t="s">
        <v>3200</v>
      </c>
      <c r="E63" s="12" t="n">
        <v>3</v>
      </c>
      <c r="F63" s="6" t="s">
        <v>3764</v>
      </c>
      <c r="G63" s="6" t="s">
        <v>3944</v>
      </c>
      <c r="H63" s="6" t="s">
        <v>83</v>
      </c>
      <c r="I63" s="6" t="s">
        <v>3956</v>
      </c>
      <c r="J63" s="6"/>
    </row>
    <row r="64" customFormat="false" ht="15" hidden="false" customHeight="false" outlineLevel="0" collapsed="false">
      <c r="A64" s="6" t="s">
        <v>3957</v>
      </c>
      <c r="B64" s="6" t="s">
        <v>3944</v>
      </c>
      <c r="C64" s="6" t="s">
        <v>3958</v>
      </c>
      <c r="D64" s="6" t="s">
        <v>3200</v>
      </c>
      <c r="E64" s="12" t="n">
        <v>3</v>
      </c>
      <c r="F64" s="6" t="s">
        <v>3764</v>
      </c>
      <c r="G64" s="6" t="s">
        <v>3944</v>
      </c>
      <c r="H64" s="6" t="s">
        <v>83</v>
      </c>
      <c r="I64" s="6" t="s">
        <v>3956</v>
      </c>
      <c r="J64" s="6"/>
    </row>
    <row r="65" customFormat="false" ht="15" hidden="false" customHeight="false" outlineLevel="0" collapsed="false">
      <c r="A65" s="6" t="s">
        <v>3959</v>
      </c>
      <c r="B65" s="6" t="s">
        <v>3944</v>
      </c>
      <c r="C65" s="6" t="s">
        <v>3960</v>
      </c>
      <c r="D65" s="6" t="s">
        <v>3200</v>
      </c>
      <c r="E65" s="12" t="n">
        <v>9</v>
      </c>
      <c r="F65" s="6" t="s">
        <v>3764</v>
      </c>
      <c r="G65" s="6" t="s">
        <v>2486</v>
      </c>
      <c r="H65" s="6" t="s">
        <v>83</v>
      </c>
      <c r="I65" s="6"/>
      <c r="J65" s="6"/>
    </row>
    <row r="66" customFormat="false" ht="15" hidden="false" customHeight="false" outlineLevel="0" collapsed="false">
      <c r="A66" s="6" t="s">
        <v>3961</v>
      </c>
      <c r="B66" s="6" t="s">
        <v>3944</v>
      </c>
      <c r="C66" s="6" t="s">
        <v>3962</v>
      </c>
      <c r="D66" s="6" t="s">
        <v>3224</v>
      </c>
      <c r="E66" s="12" t="n">
        <v>2.5</v>
      </c>
      <c r="F66" s="6" t="s">
        <v>3764</v>
      </c>
      <c r="G66" s="6" t="s">
        <v>3944</v>
      </c>
      <c r="H66" s="6" t="s">
        <v>83</v>
      </c>
      <c r="I66" s="6" t="s">
        <v>3805</v>
      </c>
      <c r="J66" s="6"/>
    </row>
    <row r="67" customFormat="false" ht="15" hidden="false" customHeight="false" outlineLevel="0" collapsed="false">
      <c r="A67" s="6" t="s">
        <v>3963</v>
      </c>
      <c r="B67" s="6" t="s">
        <v>3756</v>
      </c>
      <c r="C67" s="6" t="s">
        <v>3964</v>
      </c>
      <c r="D67" s="6" t="s">
        <v>3758</v>
      </c>
      <c r="E67" s="6" t="s">
        <v>99</v>
      </c>
      <c r="F67" s="6" t="s">
        <v>3965</v>
      </c>
      <c r="G67" s="6" t="s">
        <v>3966</v>
      </c>
      <c r="H67" s="6" t="s">
        <v>3942</v>
      </c>
      <c r="I67" s="6"/>
      <c r="J67" s="6"/>
    </row>
    <row r="68" customFormat="false" ht="15" hidden="false" customHeight="false" outlineLevel="0" collapsed="false">
      <c r="A68" s="6" t="s">
        <v>3967</v>
      </c>
      <c r="B68" s="6" t="s">
        <v>3756</v>
      </c>
      <c r="C68" s="6" t="s">
        <v>3968</v>
      </c>
      <c r="D68" s="6" t="s">
        <v>3758</v>
      </c>
      <c r="E68" s="6" t="s">
        <v>3969</v>
      </c>
      <c r="F68" s="6" t="s">
        <v>3965</v>
      </c>
      <c r="G68" s="6" t="s">
        <v>3966</v>
      </c>
      <c r="H68" s="6" t="s">
        <v>3942</v>
      </c>
      <c r="I68" s="6"/>
      <c r="J68" s="6"/>
    </row>
    <row r="69" customFormat="false" ht="22.35" hidden="false" customHeight="false" outlineLevel="0" collapsed="false">
      <c r="A69" s="6" t="s">
        <v>3970</v>
      </c>
      <c r="B69" s="6" t="s">
        <v>3756</v>
      </c>
      <c r="C69" s="6" t="s">
        <v>3971</v>
      </c>
      <c r="D69" s="6" t="s">
        <v>3758</v>
      </c>
      <c r="E69" s="6" t="s">
        <v>3972</v>
      </c>
      <c r="F69" s="6" t="s">
        <v>3965</v>
      </c>
      <c r="G69" s="6" t="s">
        <v>3973</v>
      </c>
      <c r="H69" s="6" t="s">
        <v>3799</v>
      </c>
      <c r="I69" s="6"/>
      <c r="J69" s="6"/>
    </row>
    <row r="70" customFormat="false" ht="15" hidden="false" customHeight="false" outlineLevel="0" collapsed="false">
      <c r="A70" s="6" t="s">
        <v>3974</v>
      </c>
      <c r="B70" s="6" t="s">
        <v>3756</v>
      </c>
      <c r="C70" s="6" t="s">
        <v>3975</v>
      </c>
      <c r="D70" s="6" t="s">
        <v>3758</v>
      </c>
      <c r="E70" s="6" t="s">
        <v>1834</v>
      </c>
      <c r="F70" s="6" t="s">
        <v>3965</v>
      </c>
      <c r="G70" s="6" t="s">
        <v>3966</v>
      </c>
      <c r="H70" s="6" t="s">
        <v>3942</v>
      </c>
      <c r="I70" s="6"/>
      <c r="J70" s="6"/>
    </row>
  </sheetData>
  <autoFilter ref="A1:J7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11"/>
    <col collapsed="false" customWidth="true" hidden="false" outlineLevel="0" max="4" min="4" style="0" width="24"/>
    <col collapsed="false" customWidth="true" hidden="false" outlineLevel="0" max="5" min="5" style="0" width="30"/>
    <col collapsed="false" customWidth="true" hidden="false" outlineLevel="0" max="6" min="6" style="0" width="26"/>
    <col collapsed="false" customWidth="true" hidden="false" outlineLevel="0" max="7" min="7" style="0" width="40"/>
    <col collapsed="false" customWidth="true" hidden="false" outlineLevel="0" max="8" min="8" style="0" width="12"/>
    <col collapsed="false" customWidth="true" hidden="false" outlineLevel="0" max="9" min="9" style="0" width="30"/>
  </cols>
  <sheetData>
    <row r="1" customFormat="false" ht="31.5" hidden="false" customHeight="true" outlineLevel="0" collapsed="false">
      <c r="A1" s="4" t="s">
        <v>3976</v>
      </c>
      <c r="B1" s="4" t="s">
        <v>3977</v>
      </c>
      <c r="C1" s="4" t="s">
        <v>60</v>
      </c>
      <c r="D1" s="4" t="s">
        <v>3978</v>
      </c>
      <c r="E1" s="4" t="s">
        <v>3979</v>
      </c>
      <c r="F1" s="4" t="s">
        <v>3980</v>
      </c>
      <c r="G1" s="4" t="s">
        <v>3981</v>
      </c>
      <c r="H1" s="4" t="s">
        <v>3982</v>
      </c>
      <c r="I1" s="4" t="s">
        <v>59</v>
      </c>
    </row>
    <row r="2" customFormat="false" ht="15" hidden="false" customHeight="false" outlineLevel="0" collapsed="false">
      <c r="A2" s="6" t="s">
        <v>3983</v>
      </c>
      <c r="B2" s="6" t="s">
        <v>3984</v>
      </c>
      <c r="C2" s="6" t="s">
        <v>82</v>
      </c>
      <c r="D2" s="6" t="s">
        <v>705</v>
      </c>
      <c r="E2" s="6" t="s">
        <v>3985</v>
      </c>
      <c r="F2" s="6" t="s">
        <v>3986</v>
      </c>
      <c r="G2" s="6" t="s">
        <v>3987</v>
      </c>
      <c r="H2" s="6" t="s">
        <v>3760</v>
      </c>
      <c r="I2" s="6"/>
    </row>
    <row r="3" customFormat="false" ht="22.35" hidden="false" customHeight="false" outlineLevel="0" collapsed="false">
      <c r="A3" s="6" t="s">
        <v>3988</v>
      </c>
      <c r="B3" s="6" t="s">
        <v>3989</v>
      </c>
      <c r="C3" s="6" t="s">
        <v>242</v>
      </c>
      <c r="D3" s="6" t="s">
        <v>3990</v>
      </c>
      <c r="E3" s="6" t="s">
        <v>3991</v>
      </c>
      <c r="F3" s="6" t="s">
        <v>3992</v>
      </c>
      <c r="G3" s="6" t="s">
        <v>3993</v>
      </c>
      <c r="H3" s="6" t="s">
        <v>3760</v>
      </c>
      <c r="I3" s="6" t="s">
        <v>3994</v>
      </c>
    </row>
    <row r="4" customFormat="false" ht="22.35" hidden="false" customHeight="false" outlineLevel="0" collapsed="false">
      <c r="A4" s="6" t="s">
        <v>3995</v>
      </c>
      <c r="B4" s="6" t="s">
        <v>3996</v>
      </c>
      <c r="C4" s="6" t="s">
        <v>148</v>
      </c>
      <c r="D4" s="6" t="s">
        <v>3813</v>
      </c>
      <c r="E4" s="6" t="s">
        <v>3997</v>
      </c>
      <c r="F4" s="6" t="s">
        <v>3998</v>
      </c>
      <c r="G4" s="6" t="s">
        <v>3999</v>
      </c>
      <c r="H4" s="6" t="s">
        <v>3799</v>
      </c>
      <c r="I4" s="6"/>
    </row>
    <row r="5" customFormat="false" ht="15" hidden="false" customHeight="false" outlineLevel="0" collapsed="false">
      <c r="A5" s="6" t="s">
        <v>4000</v>
      </c>
      <c r="B5" s="6" t="s">
        <v>4001</v>
      </c>
      <c r="C5" s="6" t="s">
        <v>242</v>
      </c>
      <c r="D5" s="6" t="s">
        <v>3813</v>
      </c>
      <c r="E5" s="6" t="s">
        <v>4002</v>
      </c>
      <c r="F5" s="6" t="s">
        <v>4003</v>
      </c>
      <c r="G5" s="6" t="s">
        <v>4004</v>
      </c>
      <c r="H5" s="6" t="s">
        <v>3799</v>
      </c>
      <c r="I5" s="6"/>
    </row>
    <row r="6" customFormat="false" ht="15" hidden="false" customHeight="false" outlineLevel="0" collapsed="false">
      <c r="A6" s="6" t="s">
        <v>4005</v>
      </c>
      <c r="B6" s="6" t="s">
        <v>4006</v>
      </c>
      <c r="C6" s="6" t="s">
        <v>148</v>
      </c>
      <c r="D6" s="6" t="s">
        <v>4007</v>
      </c>
      <c r="E6" s="6" t="s">
        <v>4008</v>
      </c>
      <c r="F6" s="6" t="s">
        <v>4009</v>
      </c>
      <c r="G6" s="6" t="s">
        <v>4010</v>
      </c>
      <c r="H6" s="6" t="s">
        <v>3760</v>
      </c>
      <c r="I6" s="6"/>
    </row>
    <row r="7" customFormat="false" ht="15" hidden="false" customHeight="false" outlineLevel="0" collapsed="false">
      <c r="A7" s="6" t="s">
        <v>4011</v>
      </c>
      <c r="B7" s="6" t="s">
        <v>4012</v>
      </c>
      <c r="C7" s="6" t="s">
        <v>148</v>
      </c>
      <c r="D7" s="6" t="s">
        <v>3842</v>
      </c>
      <c r="E7" s="6" t="s">
        <v>4013</v>
      </c>
      <c r="F7" s="6" t="s">
        <v>4014</v>
      </c>
      <c r="G7" s="6" t="s">
        <v>4015</v>
      </c>
      <c r="H7" s="6" t="s">
        <v>3799</v>
      </c>
      <c r="I7" s="6" t="s">
        <v>4016</v>
      </c>
    </row>
    <row r="8" customFormat="false" ht="22.35" hidden="false" customHeight="false" outlineLevel="0" collapsed="false">
      <c r="A8" s="6" t="s">
        <v>4017</v>
      </c>
      <c r="B8" s="6" t="s">
        <v>4018</v>
      </c>
      <c r="C8" s="6" t="s">
        <v>148</v>
      </c>
      <c r="D8" s="6" t="s">
        <v>3842</v>
      </c>
      <c r="E8" s="6" t="s">
        <v>4019</v>
      </c>
      <c r="F8" s="6" t="s">
        <v>4020</v>
      </c>
      <c r="G8" s="6" t="s">
        <v>4021</v>
      </c>
      <c r="H8" s="6" t="s">
        <v>3760</v>
      </c>
      <c r="I8" s="6" t="s">
        <v>4022</v>
      </c>
    </row>
    <row r="9" customFormat="false" ht="15" hidden="false" customHeight="false" outlineLevel="0" collapsed="false">
      <c r="A9" s="6" t="s">
        <v>4023</v>
      </c>
      <c r="B9" s="6" t="s">
        <v>4024</v>
      </c>
      <c r="C9" s="6" t="s">
        <v>148</v>
      </c>
      <c r="D9" s="6" t="s">
        <v>4025</v>
      </c>
      <c r="E9" s="6" t="s">
        <v>4026</v>
      </c>
      <c r="F9" s="6" t="s">
        <v>4027</v>
      </c>
      <c r="G9" s="6" t="s">
        <v>4028</v>
      </c>
      <c r="H9" s="6" t="s">
        <v>3760</v>
      </c>
      <c r="I9" s="6"/>
    </row>
    <row r="10" customFormat="false" ht="22.35" hidden="false" customHeight="false" outlineLevel="0" collapsed="false">
      <c r="A10" s="6" t="s">
        <v>4029</v>
      </c>
      <c r="B10" s="6" t="s">
        <v>4030</v>
      </c>
      <c r="C10" s="6" t="s">
        <v>148</v>
      </c>
      <c r="D10" s="6" t="s">
        <v>4031</v>
      </c>
      <c r="E10" s="6" t="s">
        <v>4032</v>
      </c>
      <c r="F10" s="6" t="s">
        <v>4033</v>
      </c>
      <c r="G10" s="6" t="s">
        <v>4034</v>
      </c>
      <c r="H10" s="6" t="s">
        <v>3857</v>
      </c>
      <c r="I10" s="6" t="s">
        <v>4035</v>
      </c>
    </row>
    <row r="11" customFormat="false" ht="15" hidden="false" customHeight="false" outlineLevel="0" collapsed="false">
      <c r="A11" s="6" t="s">
        <v>4036</v>
      </c>
      <c r="B11" s="6" t="s">
        <v>4037</v>
      </c>
      <c r="C11" s="6" t="s">
        <v>148</v>
      </c>
      <c r="D11" s="6" t="s">
        <v>3861</v>
      </c>
      <c r="E11" s="6" t="s">
        <v>4038</v>
      </c>
      <c r="F11" s="6" t="s">
        <v>4039</v>
      </c>
      <c r="G11" s="6" t="s">
        <v>4040</v>
      </c>
      <c r="H11" s="6" t="s">
        <v>2486</v>
      </c>
      <c r="I11" s="6" t="s">
        <v>4041</v>
      </c>
    </row>
    <row r="12" customFormat="false" ht="15" hidden="false" customHeight="false" outlineLevel="0" collapsed="false">
      <c r="A12" s="6" t="s">
        <v>4042</v>
      </c>
      <c r="B12" s="6" t="s">
        <v>4043</v>
      </c>
      <c r="C12" s="6" t="s">
        <v>148</v>
      </c>
      <c r="D12" s="6" t="s">
        <v>4044</v>
      </c>
      <c r="E12" s="6" t="s">
        <v>4045</v>
      </c>
      <c r="F12" s="6" t="s">
        <v>4039</v>
      </c>
      <c r="G12" s="6" t="s">
        <v>4046</v>
      </c>
      <c r="H12" s="6" t="s">
        <v>2486</v>
      </c>
      <c r="I12" s="6"/>
    </row>
    <row r="13" customFormat="false" ht="15" hidden="false" customHeight="false" outlineLevel="0" collapsed="false">
      <c r="A13" s="6" t="s">
        <v>4047</v>
      </c>
      <c r="B13" s="6" t="s">
        <v>4048</v>
      </c>
      <c r="C13" s="6" t="s">
        <v>148</v>
      </c>
      <c r="D13" s="6" t="s">
        <v>4049</v>
      </c>
      <c r="E13" s="6" t="s">
        <v>4050</v>
      </c>
      <c r="F13" s="6" t="s">
        <v>4051</v>
      </c>
      <c r="G13" s="6" t="s">
        <v>4052</v>
      </c>
      <c r="H13" s="6" t="s">
        <v>3799</v>
      </c>
      <c r="I13" s="6"/>
    </row>
    <row r="14" customFormat="false" ht="15" hidden="false" customHeight="false" outlineLevel="0" collapsed="false">
      <c r="A14" s="6" t="s">
        <v>4053</v>
      </c>
      <c r="B14" s="6" t="s">
        <v>4054</v>
      </c>
      <c r="C14" s="6" t="s">
        <v>148</v>
      </c>
      <c r="D14" s="6" t="s">
        <v>1764</v>
      </c>
      <c r="E14" s="6" t="s">
        <v>4055</v>
      </c>
      <c r="F14" s="6" t="s">
        <v>4056</v>
      </c>
      <c r="G14" s="6" t="s">
        <v>4057</v>
      </c>
      <c r="H14" s="6" t="s">
        <v>3799</v>
      </c>
      <c r="I14" s="6"/>
    </row>
    <row r="15" customFormat="false" ht="22.35" hidden="false" customHeight="false" outlineLevel="0" collapsed="false">
      <c r="A15" s="6" t="s">
        <v>4058</v>
      </c>
      <c r="B15" s="6" t="s">
        <v>4059</v>
      </c>
      <c r="C15" s="6" t="s">
        <v>148</v>
      </c>
      <c r="D15" s="6" t="s">
        <v>3842</v>
      </c>
      <c r="E15" s="6" t="s">
        <v>4060</v>
      </c>
      <c r="F15" s="6" t="s">
        <v>521</v>
      </c>
      <c r="G15" s="6" t="s">
        <v>4061</v>
      </c>
      <c r="H15" s="6" t="s">
        <v>3760</v>
      </c>
      <c r="I15" s="6" t="s">
        <v>4062</v>
      </c>
    </row>
    <row r="16" customFormat="false" ht="15" hidden="false" customHeight="false" outlineLevel="0" collapsed="false">
      <c r="A16" s="6" t="s">
        <v>4063</v>
      </c>
      <c r="B16" s="6" t="s">
        <v>4064</v>
      </c>
      <c r="C16" s="6" t="s">
        <v>242</v>
      </c>
      <c r="D16" s="6" t="s">
        <v>4065</v>
      </c>
      <c r="E16" s="6" t="s">
        <v>4066</v>
      </c>
      <c r="F16" s="6" t="s">
        <v>4067</v>
      </c>
      <c r="G16" s="6" t="s">
        <v>4068</v>
      </c>
      <c r="H16" s="6" t="s">
        <v>3760</v>
      </c>
      <c r="I16" s="6"/>
    </row>
    <row r="17" customFormat="false" ht="15" hidden="false" customHeight="false" outlineLevel="0" collapsed="false">
      <c r="A17" s="6" t="s">
        <v>4069</v>
      </c>
      <c r="B17" s="6" t="s">
        <v>4070</v>
      </c>
      <c r="C17" s="6" t="s">
        <v>242</v>
      </c>
      <c r="D17" s="6" t="s">
        <v>4071</v>
      </c>
      <c r="E17" s="6" t="s">
        <v>4072</v>
      </c>
      <c r="F17" s="6" t="s">
        <v>4073</v>
      </c>
      <c r="G17" s="6" t="s">
        <v>4074</v>
      </c>
      <c r="H17" s="6" t="s">
        <v>3760</v>
      </c>
      <c r="I17" s="6"/>
    </row>
    <row r="18" customFormat="false" ht="15" hidden="false" customHeight="false" outlineLevel="0" collapsed="false">
      <c r="A18" s="6" t="s">
        <v>4075</v>
      </c>
      <c r="B18" s="6" t="s">
        <v>4076</v>
      </c>
      <c r="C18" s="6" t="s">
        <v>242</v>
      </c>
      <c r="D18" s="6" t="s">
        <v>4044</v>
      </c>
      <c r="E18" s="6" t="s">
        <v>4077</v>
      </c>
      <c r="F18" s="6" t="s">
        <v>4078</v>
      </c>
      <c r="G18" s="6" t="s">
        <v>4079</v>
      </c>
      <c r="H18" s="6" t="s">
        <v>3799</v>
      </c>
      <c r="I18" s="6" t="s">
        <v>4080</v>
      </c>
    </row>
    <row r="19" customFormat="false" ht="15" hidden="false" customHeight="false" outlineLevel="0" collapsed="false">
      <c r="A19" s="6" t="s">
        <v>4081</v>
      </c>
      <c r="B19" s="6" t="s">
        <v>4082</v>
      </c>
      <c r="C19" s="6" t="s">
        <v>242</v>
      </c>
      <c r="D19" s="6" t="s">
        <v>4083</v>
      </c>
      <c r="E19" s="6" t="s">
        <v>4084</v>
      </c>
      <c r="F19" s="6" t="s">
        <v>1168</v>
      </c>
      <c r="G19" s="6" t="s">
        <v>4085</v>
      </c>
      <c r="H19" s="6" t="s">
        <v>3799</v>
      </c>
      <c r="I19" s="6"/>
    </row>
    <row r="20" customFormat="false" ht="15" hidden="false" customHeight="false" outlineLevel="0" collapsed="false">
      <c r="A20" s="6" t="s">
        <v>4086</v>
      </c>
      <c r="B20" s="6" t="s">
        <v>4087</v>
      </c>
      <c r="C20" s="6" t="s">
        <v>1226</v>
      </c>
      <c r="D20" s="6" t="s">
        <v>4083</v>
      </c>
      <c r="E20" s="6" t="s">
        <v>4088</v>
      </c>
      <c r="F20" s="6" t="s">
        <v>4089</v>
      </c>
      <c r="G20" s="6" t="s">
        <v>4090</v>
      </c>
      <c r="H20" s="6" t="s">
        <v>3799</v>
      </c>
      <c r="I20" s="6"/>
    </row>
    <row r="21" customFormat="false" ht="15" hidden="false" customHeight="false" outlineLevel="0" collapsed="false">
      <c r="A21" s="6" t="s">
        <v>4091</v>
      </c>
      <c r="B21" s="6" t="s">
        <v>4092</v>
      </c>
      <c r="C21" s="6" t="s">
        <v>689</v>
      </c>
      <c r="D21" s="6" t="s">
        <v>1561</v>
      </c>
      <c r="E21" s="6" t="s">
        <v>4093</v>
      </c>
      <c r="F21" s="6" t="s">
        <v>4094</v>
      </c>
      <c r="G21" s="6" t="s">
        <v>4095</v>
      </c>
      <c r="H21" s="6" t="s">
        <v>3760</v>
      </c>
      <c r="I21" s="6"/>
    </row>
    <row r="22" customFormat="false" ht="15" hidden="false" customHeight="false" outlineLevel="0" collapsed="false">
      <c r="A22" s="6" t="s">
        <v>4096</v>
      </c>
      <c r="B22" s="6" t="s">
        <v>4097</v>
      </c>
      <c r="C22" s="6" t="s">
        <v>689</v>
      </c>
      <c r="D22" s="6" t="s">
        <v>1561</v>
      </c>
      <c r="E22" s="6" t="s">
        <v>4098</v>
      </c>
      <c r="F22" s="6" t="s">
        <v>1553</v>
      </c>
      <c r="G22" s="6" t="s">
        <v>4099</v>
      </c>
      <c r="H22" s="6" t="s">
        <v>3760</v>
      </c>
      <c r="I22" s="6"/>
    </row>
    <row r="23" customFormat="false" ht="15" hidden="false" customHeight="false" outlineLevel="0" collapsed="false">
      <c r="A23" s="6" t="s">
        <v>4100</v>
      </c>
      <c r="B23" s="6" t="s">
        <v>1580</v>
      </c>
      <c r="C23" s="6" t="s">
        <v>689</v>
      </c>
      <c r="D23" s="6" t="s">
        <v>1561</v>
      </c>
      <c r="E23" s="6" t="s">
        <v>4101</v>
      </c>
      <c r="F23" s="6" t="s">
        <v>1596</v>
      </c>
      <c r="G23" s="6" t="s">
        <v>4102</v>
      </c>
      <c r="H23" s="6" t="s">
        <v>3760</v>
      </c>
      <c r="I23" s="6"/>
    </row>
    <row r="24" customFormat="false" ht="15" hidden="false" customHeight="false" outlineLevel="0" collapsed="false">
      <c r="A24" s="6" t="s">
        <v>4103</v>
      </c>
      <c r="B24" s="6" t="s">
        <v>1599</v>
      </c>
      <c r="C24" s="6" t="s">
        <v>689</v>
      </c>
      <c r="D24" s="6" t="s">
        <v>1561</v>
      </c>
      <c r="E24" s="6" t="s">
        <v>4098</v>
      </c>
      <c r="F24" s="6" t="s">
        <v>1604</v>
      </c>
      <c r="G24" s="6" t="s">
        <v>4104</v>
      </c>
      <c r="H24" s="6" t="s">
        <v>3760</v>
      </c>
      <c r="I24" s="6"/>
    </row>
    <row r="25" customFormat="false" ht="15" hidden="false" customHeight="false" outlineLevel="0" collapsed="false">
      <c r="A25" s="6" t="s">
        <v>4105</v>
      </c>
      <c r="B25" s="6" t="s">
        <v>4106</v>
      </c>
      <c r="C25" s="6" t="s">
        <v>689</v>
      </c>
      <c r="D25" s="6" t="s">
        <v>3892</v>
      </c>
      <c r="E25" s="6" t="s">
        <v>4107</v>
      </c>
      <c r="F25" s="6" t="s">
        <v>4108</v>
      </c>
      <c r="G25" s="6" t="s">
        <v>4109</v>
      </c>
      <c r="H25" s="6" t="s">
        <v>3799</v>
      </c>
      <c r="I25" s="6"/>
    </row>
    <row r="26" customFormat="false" ht="15" hidden="false" customHeight="false" outlineLevel="0" collapsed="false">
      <c r="A26" s="6" t="s">
        <v>4110</v>
      </c>
      <c r="B26" s="6" t="s">
        <v>4111</v>
      </c>
      <c r="C26" s="6" t="s">
        <v>689</v>
      </c>
      <c r="D26" s="6" t="s">
        <v>4112</v>
      </c>
      <c r="E26" s="6" t="s">
        <v>4113</v>
      </c>
      <c r="F26" s="6" t="s">
        <v>4114</v>
      </c>
      <c r="G26" s="6" t="s">
        <v>4115</v>
      </c>
      <c r="H26" s="6" t="s">
        <v>3799</v>
      </c>
      <c r="I26" s="6"/>
    </row>
    <row r="27" customFormat="false" ht="15" hidden="false" customHeight="false" outlineLevel="0" collapsed="false">
      <c r="A27" s="6" t="s">
        <v>4116</v>
      </c>
      <c r="B27" s="6" t="s">
        <v>4117</v>
      </c>
      <c r="C27" s="6" t="s">
        <v>689</v>
      </c>
      <c r="D27" s="6" t="s">
        <v>3898</v>
      </c>
      <c r="E27" s="6" t="s">
        <v>4118</v>
      </c>
      <c r="F27" s="6" t="s">
        <v>4119</v>
      </c>
      <c r="G27" s="6" t="s">
        <v>4120</v>
      </c>
      <c r="H27" s="6" t="s">
        <v>3760</v>
      </c>
      <c r="I27" s="6"/>
    </row>
    <row r="28" customFormat="false" ht="15" hidden="false" customHeight="false" outlineLevel="0" collapsed="false">
      <c r="A28" s="6" t="s">
        <v>4121</v>
      </c>
      <c r="B28" s="6" t="s">
        <v>4122</v>
      </c>
      <c r="C28" s="6" t="s">
        <v>689</v>
      </c>
      <c r="D28" s="6" t="s">
        <v>4123</v>
      </c>
      <c r="E28" s="6" t="s">
        <v>4124</v>
      </c>
      <c r="F28" s="6" t="s">
        <v>4125</v>
      </c>
      <c r="G28" s="6" t="s">
        <v>4126</v>
      </c>
      <c r="H28" s="6" t="s">
        <v>3760</v>
      </c>
      <c r="I28" s="6"/>
    </row>
    <row r="29" customFormat="false" ht="15" hidden="false" customHeight="false" outlineLevel="0" collapsed="false">
      <c r="A29" s="6" t="s">
        <v>4127</v>
      </c>
      <c r="B29" s="6" t="s">
        <v>4128</v>
      </c>
      <c r="C29" s="6" t="s">
        <v>689</v>
      </c>
      <c r="D29" s="6" t="s">
        <v>3898</v>
      </c>
      <c r="E29" s="6" t="s">
        <v>4129</v>
      </c>
      <c r="F29" s="6" t="s">
        <v>2568</v>
      </c>
      <c r="G29" s="6" t="s">
        <v>4120</v>
      </c>
      <c r="H29" s="6" t="s">
        <v>3760</v>
      </c>
      <c r="I29" s="6"/>
    </row>
    <row r="30" customFormat="false" ht="15" hidden="false" customHeight="false" outlineLevel="0" collapsed="false">
      <c r="A30" s="6" t="s">
        <v>4130</v>
      </c>
      <c r="B30" s="6" t="s">
        <v>4131</v>
      </c>
      <c r="C30" s="6" t="s">
        <v>689</v>
      </c>
      <c r="D30" s="6" t="s">
        <v>4132</v>
      </c>
      <c r="E30" s="6" t="s">
        <v>4133</v>
      </c>
      <c r="F30" s="6" t="s">
        <v>4134</v>
      </c>
      <c r="G30" s="6" t="s">
        <v>4135</v>
      </c>
      <c r="H30" s="6" t="s">
        <v>3799</v>
      </c>
      <c r="I30" s="6"/>
    </row>
    <row r="31" customFormat="false" ht="15" hidden="false" customHeight="false" outlineLevel="0" collapsed="false">
      <c r="A31" s="6" t="s">
        <v>4136</v>
      </c>
      <c r="B31" s="6" t="s">
        <v>4137</v>
      </c>
      <c r="C31" s="6" t="s">
        <v>689</v>
      </c>
      <c r="D31" s="6" t="s">
        <v>1561</v>
      </c>
      <c r="E31" s="6" t="s">
        <v>4098</v>
      </c>
      <c r="F31" s="6" t="s">
        <v>1804</v>
      </c>
      <c r="G31" s="6" t="s">
        <v>4138</v>
      </c>
      <c r="H31" s="6" t="s">
        <v>3799</v>
      </c>
      <c r="I31" s="6"/>
    </row>
    <row r="32" customFormat="false" ht="22.35" hidden="false" customHeight="false" outlineLevel="0" collapsed="false">
      <c r="A32" s="6" t="s">
        <v>4139</v>
      </c>
      <c r="B32" s="6" t="s">
        <v>4140</v>
      </c>
      <c r="C32" s="6" t="s">
        <v>1841</v>
      </c>
      <c r="D32" s="6" t="s">
        <v>3914</v>
      </c>
      <c r="E32" s="6" t="s">
        <v>4141</v>
      </c>
      <c r="F32" s="6" t="s">
        <v>2777</v>
      </c>
      <c r="G32" s="6" t="s">
        <v>4142</v>
      </c>
      <c r="H32" s="6" t="s">
        <v>4143</v>
      </c>
      <c r="I32" s="6"/>
    </row>
    <row r="33" customFormat="false" ht="15" hidden="false" customHeight="false" outlineLevel="0" collapsed="false">
      <c r="A33" s="6" t="s">
        <v>4144</v>
      </c>
      <c r="B33" s="6" t="s">
        <v>4145</v>
      </c>
      <c r="C33" s="6" t="s">
        <v>1841</v>
      </c>
      <c r="D33" s="6" t="s">
        <v>3914</v>
      </c>
      <c r="E33" s="6" t="s">
        <v>4098</v>
      </c>
      <c r="F33" s="6" t="s">
        <v>2039</v>
      </c>
      <c r="G33" s="6" t="s">
        <v>4146</v>
      </c>
      <c r="H33" s="6" t="s">
        <v>3760</v>
      </c>
      <c r="I33" s="6"/>
    </row>
    <row r="34" customFormat="false" ht="15" hidden="false" customHeight="false" outlineLevel="0" collapsed="false">
      <c r="A34" s="6" t="s">
        <v>4147</v>
      </c>
      <c r="B34" s="6" t="s">
        <v>4148</v>
      </c>
      <c r="C34" s="6" t="s">
        <v>1841</v>
      </c>
      <c r="D34" s="6" t="s">
        <v>3914</v>
      </c>
      <c r="E34" s="6" t="s">
        <v>4098</v>
      </c>
      <c r="F34" s="6" t="s">
        <v>2008</v>
      </c>
      <c r="G34" s="6" t="s">
        <v>4146</v>
      </c>
      <c r="H34" s="6" t="s">
        <v>3760</v>
      </c>
      <c r="I34" s="6"/>
    </row>
    <row r="35" customFormat="false" ht="15" hidden="false" customHeight="false" outlineLevel="0" collapsed="false">
      <c r="A35" s="6" t="s">
        <v>4149</v>
      </c>
      <c r="B35" s="6" t="s">
        <v>4150</v>
      </c>
      <c r="C35" s="6" t="s">
        <v>1841</v>
      </c>
      <c r="D35" s="6" t="s">
        <v>3914</v>
      </c>
      <c r="E35" s="6" t="s">
        <v>4098</v>
      </c>
      <c r="F35" s="6" t="s">
        <v>2016</v>
      </c>
      <c r="G35" s="6" t="s">
        <v>4146</v>
      </c>
      <c r="H35" s="6" t="s">
        <v>3760</v>
      </c>
      <c r="I35" s="6"/>
    </row>
    <row r="36" customFormat="false" ht="15" hidden="false" customHeight="false" outlineLevel="0" collapsed="false">
      <c r="A36" s="6" t="s">
        <v>4151</v>
      </c>
      <c r="B36" s="6" t="s">
        <v>4152</v>
      </c>
      <c r="C36" s="6" t="s">
        <v>1841</v>
      </c>
      <c r="D36" s="6" t="s">
        <v>3914</v>
      </c>
      <c r="E36" s="6" t="s">
        <v>4153</v>
      </c>
      <c r="F36" s="6" t="s">
        <v>4154</v>
      </c>
      <c r="G36" s="6" t="s">
        <v>4155</v>
      </c>
      <c r="H36" s="6" t="s">
        <v>3760</v>
      </c>
      <c r="I36" s="6"/>
    </row>
    <row r="37" customFormat="false" ht="15" hidden="false" customHeight="false" outlineLevel="0" collapsed="false">
      <c r="A37" s="6" t="s">
        <v>4156</v>
      </c>
      <c r="B37" s="6" t="s">
        <v>4157</v>
      </c>
      <c r="C37" s="6" t="s">
        <v>1841</v>
      </c>
      <c r="D37" s="6" t="s">
        <v>3914</v>
      </c>
      <c r="E37" s="6" t="s">
        <v>4158</v>
      </c>
      <c r="F37" s="6" t="s">
        <v>2051</v>
      </c>
      <c r="G37" s="6" t="s">
        <v>4146</v>
      </c>
      <c r="H37" s="6" t="s">
        <v>3760</v>
      </c>
      <c r="I37" s="6"/>
    </row>
    <row r="38" customFormat="false" ht="15" hidden="false" customHeight="false" outlineLevel="0" collapsed="false">
      <c r="A38" s="6" t="s">
        <v>4159</v>
      </c>
      <c r="B38" s="6" t="s">
        <v>4160</v>
      </c>
      <c r="C38" s="6" t="s">
        <v>1841</v>
      </c>
      <c r="D38" s="6" t="s">
        <v>4161</v>
      </c>
      <c r="E38" s="6" t="s">
        <v>4162</v>
      </c>
      <c r="F38" s="6" t="s">
        <v>4163</v>
      </c>
      <c r="G38" s="6" t="s">
        <v>4164</v>
      </c>
      <c r="H38" s="6" t="s">
        <v>3760</v>
      </c>
      <c r="I38" s="6"/>
    </row>
    <row r="39" customFormat="false" ht="15" hidden="false" customHeight="false" outlineLevel="0" collapsed="false">
      <c r="A39" s="6" t="s">
        <v>4165</v>
      </c>
      <c r="B39" s="6" t="s">
        <v>4166</v>
      </c>
      <c r="C39" s="6" t="s">
        <v>1841</v>
      </c>
      <c r="D39" s="6" t="s">
        <v>3920</v>
      </c>
      <c r="E39" s="6" t="s">
        <v>4098</v>
      </c>
      <c r="F39" s="6" t="s">
        <v>1942</v>
      </c>
      <c r="G39" s="6" t="s">
        <v>4167</v>
      </c>
      <c r="H39" s="6" t="s">
        <v>3799</v>
      </c>
      <c r="I39" s="6"/>
    </row>
    <row r="40" customFormat="false" ht="15" hidden="false" customHeight="false" outlineLevel="0" collapsed="false">
      <c r="A40" s="6" t="s">
        <v>4168</v>
      </c>
      <c r="B40" s="6" t="s">
        <v>4169</v>
      </c>
      <c r="C40" s="6" t="s">
        <v>2139</v>
      </c>
      <c r="D40" s="6" t="s">
        <v>3914</v>
      </c>
      <c r="E40" s="6" t="s">
        <v>4098</v>
      </c>
      <c r="F40" s="6" t="s">
        <v>2177</v>
      </c>
      <c r="G40" s="6" t="s">
        <v>4146</v>
      </c>
      <c r="H40" s="6" t="s">
        <v>3760</v>
      </c>
      <c r="I40" s="6"/>
    </row>
    <row r="41" customFormat="false" ht="15" hidden="false" customHeight="false" outlineLevel="0" collapsed="false">
      <c r="A41" s="6" t="s">
        <v>4170</v>
      </c>
      <c r="B41" s="6" t="s">
        <v>4171</v>
      </c>
      <c r="C41" s="6" t="s">
        <v>567</v>
      </c>
      <c r="D41" s="6" t="s">
        <v>705</v>
      </c>
      <c r="E41" s="6" t="s">
        <v>4172</v>
      </c>
      <c r="F41" s="6" t="s">
        <v>2896</v>
      </c>
      <c r="G41" s="6" t="s">
        <v>4173</v>
      </c>
      <c r="H41" s="6" t="s">
        <v>3799</v>
      </c>
      <c r="I41" s="6"/>
    </row>
    <row r="42" customFormat="false" ht="15" hidden="false" customHeight="false" outlineLevel="0" collapsed="false">
      <c r="A42" s="6" t="s">
        <v>4174</v>
      </c>
      <c r="B42" s="6" t="s">
        <v>4175</v>
      </c>
      <c r="C42" s="6" t="s">
        <v>567</v>
      </c>
      <c r="D42" s="6" t="s">
        <v>1764</v>
      </c>
      <c r="E42" s="6" t="s">
        <v>4176</v>
      </c>
      <c r="F42" s="6" t="s">
        <v>2239</v>
      </c>
      <c r="G42" s="6" t="s">
        <v>4177</v>
      </c>
      <c r="H42" s="6" t="s">
        <v>3760</v>
      </c>
      <c r="I42" s="6"/>
    </row>
    <row r="43" customFormat="false" ht="15" hidden="false" customHeight="false" outlineLevel="0" collapsed="false">
      <c r="A43" s="6" t="s">
        <v>4178</v>
      </c>
      <c r="B43" s="6" t="s">
        <v>4179</v>
      </c>
      <c r="C43" s="6" t="s">
        <v>567</v>
      </c>
      <c r="D43" s="6" t="s">
        <v>1764</v>
      </c>
      <c r="E43" s="6" t="s">
        <v>4180</v>
      </c>
      <c r="F43" s="6" t="s">
        <v>2252</v>
      </c>
      <c r="G43" s="6" t="s">
        <v>4181</v>
      </c>
      <c r="H43" s="6" t="s">
        <v>3760</v>
      </c>
      <c r="I43" s="6"/>
    </row>
    <row r="44" customFormat="false" ht="15" hidden="false" customHeight="false" outlineLevel="0" collapsed="false">
      <c r="A44" s="6" t="s">
        <v>4182</v>
      </c>
      <c r="B44" s="6" t="s">
        <v>4183</v>
      </c>
      <c r="C44" s="6" t="s">
        <v>567</v>
      </c>
      <c r="D44" s="6" t="s">
        <v>3924</v>
      </c>
      <c r="E44" s="6" t="s">
        <v>4184</v>
      </c>
      <c r="F44" s="6" t="s">
        <v>2285</v>
      </c>
      <c r="G44" s="6" t="s">
        <v>4185</v>
      </c>
      <c r="H44" s="6" t="s">
        <v>3760</v>
      </c>
      <c r="I44" s="6"/>
    </row>
    <row r="45" customFormat="false" ht="15" hidden="false" customHeight="false" outlineLevel="0" collapsed="false">
      <c r="A45" s="6" t="s">
        <v>4186</v>
      </c>
      <c r="B45" s="6" t="s">
        <v>1190</v>
      </c>
      <c r="C45" s="6" t="s">
        <v>242</v>
      </c>
      <c r="D45" s="6" t="s">
        <v>2314</v>
      </c>
      <c r="E45" s="6" t="s">
        <v>4187</v>
      </c>
      <c r="F45" s="6" t="s">
        <v>2308</v>
      </c>
      <c r="G45" s="6" t="s">
        <v>4188</v>
      </c>
      <c r="H45" s="6" t="s">
        <v>3799</v>
      </c>
      <c r="I45" s="6"/>
    </row>
    <row r="46" customFormat="false" ht="15" hidden="false" customHeight="false" outlineLevel="0" collapsed="false">
      <c r="A46" s="6" t="s">
        <v>4189</v>
      </c>
      <c r="B46" s="6" t="s">
        <v>4190</v>
      </c>
      <c r="C46" s="6" t="s">
        <v>242</v>
      </c>
      <c r="D46" s="6" t="s">
        <v>585</v>
      </c>
      <c r="E46" s="6" t="s">
        <v>4191</v>
      </c>
      <c r="F46" s="6" t="s">
        <v>4192</v>
      </c>
      <c r="G46" s="6" t="s">
        <v>4193</v>
      </c>
      <c r="H46" s="6" t="s">
        <v>3857</v>
      </c>
      <c r="I46" s="6" t="s">
        <v>4194</v>
      </c>
    </row>
    <row r="47" customFormat="false" ht="15" hidden="false" customHeight="false" outlineLevel="0" collapsed="false">
      <c r="A47" s="6" t="s">
        <v>4195</v>
      </c>
      <c r="B47" s="6" t="s">
        <v>2324</v>
      </c>
      <c r="C47" s="6" t="s">
        <v>567</v>
      </c>
      <c r="D47" s="6" t="s">
        <v>4196</v>
      </c>
      <c r="E47" s="6" t="s">
        <v>4197</v>
      </c>
      <c r="F47" s="6" t="s">
        <v>2331</v>
      </c>
      <c r="G47" s="6" t="s">
        <v>4198</v>
      </c>
      <c r="H47" s="6" t="s">
        <v>4199</v>
      </c>
      <c r="I47" s="6"/>
    </row>
  </sheetData>
  <autoFilter ref="A1:I4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28"/>
    <col collapsed="false" customWidth="true" hidden="false" outlineLevel="0" max="6" min="6" style="0" width="8"/>
    <col collapsed="false" customWidth="true" hidden="false" outlineLevel="0" max="7" min="7" style="0" width="24"/>
    <col collapsed="false" customWidth="true" hidden="false" outlineLevel="0" max="8" min="8" style="0" width="8"/>
    <col collapsed="false" customWidth="true" hidden="false" outlineLevel="0" max="22" min="9" style="0" width="6"/>
    <col collapsed="false" customWidth="true" hidden="false" outlineLevel="0" max="23" min="23" style="0" width="30"/>
  </cols>
  <sheetData>
    <row r="1" customFormat="false" ht="31.5" hidden="false" customHeight="true" outlineLevel="0" collapsed="false">
      <c r="A1" s="4" t="s">
        <v>4200</v>
      </c>
      <c r="B1" s="4" t="s">
        <v>4201</v>
      </c>
      <c r="C1" s="4" t="s">
        <v>4202</v>
      </c>
      <c r="D1" s="4" t="s">
        <v>814</v>
      </c>
      <c r="E1" s="4" t="s">
        <v>4203</v>
      </c>
      <c r="F1" s="4" t="s">
        <v>4204</v>
      </c>
      <c r="G1" s="4" t="s">
        <v>4205</v>
      </c>
      <c r="H1" s="4" t="s">
        <v>4206</v>
      </c>
      <c r="I1" s="4" t="s">
        <v>4207</v>
      </c>
      <c r="J1" s="4" t="s">
        <v>4208</v>
      </c>
      <c r="K1" s="4" t="s">
        <v>4209</v>
      </c>
      <c r="L1" s="4" t="s">
        <v>4210</v>
      </c>
      <c r="M1" s="4" t="s">
        <v>4211</v>
      </c>
      <c r="N1" s="4" t="s">
        <v>4212</v>
      </c>
      <c r="O1" s="4" t="s">
        <v>4213</v>
      </c>
      <c r="P1" s="4" t="s">
        <v>4214</v>
      </c>
      <c r="Q1" s="4" t="s">
        <v>1667</v>
      </c>
      <c r="R1" s="4" t="s">
        <v>1688</v>
      </c>
      <c r="S1" s="4" t="s">
        <v>1738</v>
      </c>
      <c r="T1" s="4" t="s">
        <v>4215</v>
      </c>
      <c r="U1" s="4" t="s">
        <v>1256</v>
      </c>
      <c r="V1" s="4" t="s">
        <v>4216</v>
      </c>
      <c r="W1" s="4" t="s">
        <v>59</v>
      </c>
    </row>
    <row r="2" customFormat="false" ht="22.35" hidden="false" customHeight="false" outlineLevel="0" collapsed="false">
      <c r="A2" s="6" t="s">
        <v>4217</v>
      </c>
      <c r="B2" s="6" t="s">
        <v>4218</v>
      </c>
      <c r="C2" s="6" t="s">
        <v>4219</v>
      </c>
      <c r="D2" s="6" t="s">
        <v>4220</v>
      </c>
      <c r="E2" s="6" t="s">
        <v>4221</v>
      </c>
      <c r="F2" s="12" t="n">
        <v>0</v>
      </c>
      <c r="G2" s="6" t="s">
        <v>4222</v>
      </c>
      <c r="H2" s="17" t="n">
        <v>0.3</v>
      </c>
      <c r="I2" s="12" t="n">
        <v>4</v>
      </c>
      <c r="J2" s="12" t="n">
        <v>1</v>
      </c>
      <c r="K2" s="12" t="n">
        <v>4</v>
      </c>
      <c r="L2" s="12" t="n">
        <v>0</v>
      </c>
      <c r="M2" s="12" t="n">
        <v>1</v>
      </c>
      <c r="N2" s="12" t="n">
        <v>1</v>
      </c>
      <c r="O2" s="12" t="n">
        <v>1</v>
      </c>
      <c r="P2" s="12" t="n">
        <v>0</v>
      </c>
      <c r="Q2" s="12" t="n">
        <v>0</v>
      </c>
      <c r="R2" s="12" t="n">
        <v>0</v>
      </c>
      <c r="S2" s="12" t="n">
        <v>0</v>
      </c>
      <c r="T2" s="12" t="n">
        <v>0</v>
      </c>
      <c r="U2" s="12" t="n">
        <v>0</v>
      </c>
      <c r="V2" s="12" t="n">
        <v>0</v>
      </c>
      <c r="W2" s="6" t="s">
        <v>4223</v>
      </c>
    </row>
    <row r="3" customFormat="false" ht="22.35" hidden="false" customHeight="false" outlineLevel="0" collapsed="false">
      <c r="A3" s="6" t="s">
        <v>4224</v>
      </c>
      <c r="B3" s="6" t="s">
        <v>4225</v>
      </c>
      <c r="C3" s="6" t="s">
        <v>4226</v>
      </c>
      <c r="D3" s="6" t="s">
        <v>4227</v>
      </c>
      <c r="E3" s="6" t="s">
        <v>4228</v>
      </c>
      <c r="F3" s="12" t="n">
        <v>0</v>
      </c>
      <c r="G3" s="6" t="s">
        <v>4229</v>
      </c>
      <c r="H3" s="17" t="n">
        <v>0.6</v>
      </c>
      <c r="I3" s="12" t="n">
        <v>6</v>
      </c>
      <c r="J3" s="12" t="n">
        <v>1</v>
      </c>
      <c r="K3" s="12" t="n">
        <v>4</v>
      </c>
      <c r="L3" s="12" t="n">
        <v>0</v>
      </c>
      <c r="M3" s="12" t="n">
        <v>1</v>
      </c>
      <c r="N3" s="12" t="n">
        <v>1</v>
      </c>
      <c r="O3" s="12" t="n">
        <v>1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6" t="s">
        <v>4230</v>
      </c>
    </row>
    <row r="4" customFormat="false" ht="22.35" hidden="false" customHeight="false" outlineLevel="0" collapsed="false">
      <c r="A4" s="6" t="s">
        <v>4231</v>
      </c>
      <c r="B4" s="6" t="s">
        <v>4232</v>
      </c>
      <c r="C4" s="6" t="s">
        <v>4233</v>
      </c>
      <c r="D4" s="6" t="s">
        <v>4220</v>
      </c>
      <c r="E4" s="6" t="s">
        <v>4221</v>
      </c>
      <c r="F4" s="12" t="n">
        <v>0</v>
      </c>
      <c r="G4" s="6" t="s">
        <v>4234</v>
      </c>
      <c r="H4" s="17" t="n">
        <v>0.4</v>
      </c>
      <c r="I4" s="12" t="n">
        <v>6</v>
      </c>
      <c r="J4" s="12" t="n">
        <v>1</v>
      </c>
      <c r="K4" s="12" t="n">
        <v>5</v>
      </c>
      <c r="L4" s="12" t="n">
        <v>0</v>
      </c>
      <c r="M4" s="12" t="n">
        <v>1</v>
      </c>
      <c r="N4" s="12" t="n">
        <v>1</v>
      </c>
      <c r="O4" s="12" t="n">
        <v>1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6" t="s">
        <v>4235</v>
      </c>
    </row>
    <row r="5" customFormat="false" ht="22.35" hidden="false" customHeight="false" outlineLevel="0" collapsed="false">
      <c r="A5" s="6" t="s">
        <v>1226</v>
      </c>
      <c r="B5" s="6" t="s">
        <v>4236</v>
      </c>
      <c r="C5" s="6" t="s">
        <v>4237</v>
      </c>
      <c r="D5" s="6" t="s">
        <v>4220</v>
      </c>
      <c r="E5" s="6" t="s">
        <v>4238</v>
      </c>
      <c r="F5" s="12" t="n">
        <v>2</v>
      </c>
      <c r="G5" s="6" t="s">
        <v>4239</v>
      </c>
      <c r="H5" s="17" t="n">
        <v>0.5</v>
      </c>
      <c r="I5" s="12" t="n">
        <v>3</v>
      </c>
      <c r="J5" s="12" t="n">
        <v>0</v>
      </c>
      <c r="K5" s="12" t="n">
        <v>4</v>
      </c>
      <c r="L5" s="12" t="n">
        <v>2</v>
      </c>
      <c r="M5" s="12" t="n">
        <v>0</v>
      </c>
      <c r="N5" s="12" t="n">
        <v>0</v>
      </c>
      <c r="O5" s="12" t="n">
        <v>0</v>
      </c>
      <c r="P5" s="12" t="n">
        <v>1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1</v>
      </c>
      <c r="V5" s="12" t="n">
        <v>1</v>
      </c>
      <c r="W5" s="6" t="s">
        <v>4240</v>
      </c>
    </row>
    <row r="6" customFormat="false" ht="22.35" hidden="false" customHeight="false" outlineLevel="0" collapsed="false">
      <c r="A6" s="6" t="s">
        <v>4241</v>
      </c>
      <c r="B6" s="6" t="s">
        <v>4242</v>
      </c>
      <c r="C6" s="6" t="s">
        <v>4243</v>
      </c>
      <c r="D6" s="6" t="s">
        <v>4244</v>
      </c>
      <c r="E6" s="6" t="s">
        <v>4245</v>
      </c>
      <c r="F6" s="12" t="n">
        <v>8</v>
      </c>
      <c r="G6" s="6" t="s">
        <v>4246</v>
      </c>
      <c r="H6" s="17" t="n">
        <v>1</v>
      </c>
      <c r="I6" s="12" t="n">
        <v>2</v>
      </c>
      <c r="J6" s="12" t="n">
        <v>0</v>
      </c>
      <c r="K6" s="12" t="n">
        <v>0</v>
      </c>
      <c r="L6" s="12" t="n">
        <v>1</v>
      </c>
      <c r="M6" s="12" t="n">
        <v>0</v>
      </c>
      <c r="N6" s="12" t="n">
        <v>0</v>
      </c>
      <c r="O6" s="12" t="n">
        <v>0</v>
      </c>
      <c r="P6" s="12" t="n">
        <v>1</v>
      </c>
      <c r="Q6" s="12" t="n">
        <v>1</v>
      </c>
      <c r="R6" s="12" t="n">
        <v>1</v>
      </c>
      <c r="S6" s="12" t="n">
        <v>1</v>
      </c>
      <c r="T6" s="12" t="n">
        <v>1</v>
      </c>
      <c r="U6" s="12" t="n">
        <v>0</v>
      </c>
      <c r="V6" s="12" t="n">
        <v>2</v>
      </c>
      <c r="W6" s="6" t="s">
        <v>4247</v>
      </c>
    </row>
    <row r="7" customFormat="false" ht="15" hidden="false" customHeight="false" outlineLevel="0" collapsed="false">
      <c r="A7" s="6" t="s">
        <v>1752</v>
      </c>
      <c r="B7" s="6" t="s">
        <v>4248</v>
      </c>
      <c r="C7" s="6" t="s">
        <v>4249</v>
      </c>
      <c r="D7" s="6" t="s">
        <v>4220</v>
      </c>
      <c r="E7" s="6" t="s">
        <v>4250</v>
      </c>
      <c r="F7" s="12" t="n">
        <v>4</v>
      </c>
      <c r="G7" s="6" t="s">
        <v>4251</v>
      </c>
      <c r="H7" s="17" t="n">
        <v>0</v>
      </c>
      <c r="I7" s="12" t="n">
        <v>1</v>
      </c>
      <c r="J7" s="12" t="n">
        <v>0</v>
      </c>
      <c r="K7" s="12" t="n">
        <v>1</v>
      </c>
      <c r="L7" s="12" t="n">
        <v>1</v>
      </c>
      <c r="M7" s="12" t="n">
        <v>0</v>
      </c>
      <c r="N7" s="12" t="n">
        <v>0</v>
      </c>
      <c r="O7" s="12" t="n">
        <v>0</v>
      </c>
      <c r="P7" s="12" t="n">
        <v>1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1</v>
      </c>
      <c r="W7" s="6" t="s">
        <v>2848</v>
      </c>
    </row>
    <row r="8" customFormat="false" ht="22.35" hidden="false" customHeight="false" outlineLevel="0" collapsed="false">
      <c r="A8" s="6" t="s">
        <v>4252</v>
      </c>
      <c r="B8" s="6" t="s">
        <v>4253</v>
      </c>
      <c r="C8" s="6" t="s">
        <v>4254</v>
      </c>
      <c r="D8" s="6" t="s">
        <v>4255</v>
      </c>
      <c r="E8" s="6" t="s">
        <v>4221</v>
      </c>
      <c r="F8" s="12" t="n">
        <v>0</v>
      </c>
      <c r="G8" s="6" t="s">
        <v>4251</v>
      </c>
      <c r="H8" s="17" t="n">
        <v>0</v>
      </c>
      <c r="I8" s="12" t="n">
        <v>3</v>
      </c>
      <c r="J8" s="12" t="n">
        <v>0</v>
      </c>
      <c r="K8" s="12" t="n">
        <v>1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6" t="s">
        <v>4256</v>
      </c>
    </row>
    <row r="9" customFormat="false" ht="15" hidden="false" customHeight="false" outlineLevel="0" collapsed="false">
      <c r="A9" s="6" t="s">
        <v>4257</v>
      </c>
      <c r="B9" s="6" t="s">
        <v>4258</v>
      </c>
      <c r="C9" s="6" t="s">
        <v>4259</v>
      </c>
      <c r="D9" s="6" t="s">
        <v>83</v>
      </c>
      <c r="E9" s="6" t="s">
        <v>4260</v>
      </c>
      <c r="F9" s="12" t="n">
        <v>0</v>
      </c>
      <c r="G9" s="6" t="s">
        <v>4261</v>
      </c>
      <c r="H9" s="17" t="n">
        <v>0</v>
      </c>
      <c r="I9" s="12" t="n">
        <v>2</v>
      </c>
      <c r="J9" s="12" t="n">
        <v>0</v>
      </c>
      <c r="K9" s="12" t="n">
        <v>1</v>
      </c>
      <c r="L9" s="12" t="n">
        <v>1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1</v>
      </c>
      <c r="W9" s="6" t="s">
        <v>4262</v>
      </c>
    </row>
    <row r="10" customFormat="false" ht="15" hidden="false" customHeight="false" outlineLevel="0" collapsed="false">
      <c r="A10" s="6" t="s">
        <v>4263</v>
      </c>
      <c r="B10" s="6" t="s">
        <v>4264</v>
      </c>
      <c r="C10" s="6" t="s">
        <v>4265</v>
      </c>
      <c r="D10" s="6" t="s">
        <v>4220</v>
      </c>
      <c r="E10" s="6" t="s">
        <v>4260</v>
      </c>
      <c r="F10" s="12" t="n">
        <v>0</v>
      </c>
      <c r="G10" s="6" t="s">
        <v>83</v>
      </c>
      <c r="H10" s="17" t="n">
        <v>0</v>
      </c>
      <c r="I10" s="12" t="n">
        <v>1</v>
      </c>
      <c r="J10" s="12" t="n">
        <v>0</v>
      </c>
      <c r="K10" s="12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1</v>
      </c>
      <c r="W10" s="6" t="s">
        <v>4266</v>
      </c>
    </row>
    <row r="11" customFormat="false" ht="15" hidden="false" customHeight="false" outlineLevel="0" collapsed="false">
      <c r="A11" s="6" t="s">
        <v>4267</v>
      </c>
      <c r="B11" s="6" t="s">
        <v>4268</v>
      </c>
      <c r="C11" s="6" t="s">
        <v>4269</v>
      </c>
      <c r="D11" s="6" t="s">
        <v>4220</v>
      </c>
      <c r="E11" s="6" t="s">
        <v>4251</v>
      </c>
      <c r="F11" s="12" t="n">
        <v>0</v>
      </c>
      <c r="G11" s="6" t="s">
        <v>4251</v>
      </c>
      <c r="H11" s="17" t="n">
        <v>0</v>
      </c>
      <c r="I11" s="12" t="n">
        <v>1</v>
      </c>
      <c r="J11" s="12" t="n">
        <v>0</v>
      </c>
      <c r="K11" s="12" t="n">
        <v>1</v>
      </c>
      <c r="L11" s="12" t="n">
        <v>0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6" t="s">
        <v>4270</v>
      </c>
    </row>
    <row r="12" customFormat="false" ht="15" hidden="false" customHeight="false" outlineLevel="0" collapsed="false">
      <c r="A12" s="6" t="s">
        <v>4271</v>
      </c>
      <c r="B12" s="6" t="s">
        <v>4272</v>
      </c>
      <c r="C12" s="6" t="s">
        <v>4273</v>
      </c>
      <c r="D12" s="6" t="s">
        <v>4220</v>
      </c>
      <c r="E12" s="6" t="s">
        <v>4251</v>
      </c>
      <c r="F12" s="12" t="n">
        <v>0</v>
      </c>
      <c r="G12" s="6" t="s">
        <v>4251</v>
      </c>
      <c r="H12" s="17" t="n">
        <v>0</v>
      </c>
      <c r="I12" s="12" t="n">
        <v>1</v>
      </c>
      <c r="J12" s="12" t="n">
        <v>0</v>
      </c>
      <c r="K12" s="12" t="n">
        <v>1</v>
      </c>
      <c r="L12" s="12" t="n">
        <v>0</v>
      </c>
      <c r="M12" s="12" t="n">
        <v>0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6"/>
    </row>
    <row r="13" customFormat="false" ht="15" hidden="false" customHeight="false" outlineLevel="0" collapsed="false">
      <c r="A13" s="6" t="s">
        <v>4274</v>
      </c>
      <c r="B13" s="6" t="s">
        <v>4275</v>
      </c>
      <c r="C13" s="6" t="s">
        <v>4273</v>
      </c>
      <c r="D13" s="6" t="s">
        <v>4220</v>
      </c>
      <c r="E13" s="6" t="s">
        <v>4251</v>
      </c>
      <c r="F13" s="12" t="n">
        <v>0</v>
      </c>
      <c r="G13" s="6" t="s">
        <v>4251</v>
      </c>
      <c r="H13" s="17" t="n">
        <v>0</v>
      </c>
      <c r="I13" s="12" t="n">
        <v>2</v>
      </c>
      <c r="J13" s="12" t="n">
        <v>1</v>
      </c>
      <c r="K13" s="12" t="n">
        <v>2</v>
      </c>
      <c r="L13" s="12" t="n">
        <v>0</v>
      </c>
      <c r="M13" s="12" t="n">
        <v>0</v>
      </c>
      <c r="N13" s="12" t="n">
        <v>0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6" t="s">
        <v>4276</v>
      </c>
    </row>
    <row r="14" customFormat="false" ht="15" hidden="false" customHeight="false" outlineLevel="0" collapsed="false">
      <c r="A14" s="6" t="s">
        <v>4179</v>
      </c>
      <c r="B14" s="6" t="s">
        <v>4277</v>
      </c>
      <c r="C14" s="6" t="s">
        <v>4278</v>
      </c>
      <c r="D14" s="6" t="s">
        <v>83</v>
      </c>
      <c r="E14" s="6" t="s">
        <v>83</v>
      </c>
      <c r="F14" s="12" t="n">
        <v>0</v>
      </c>
      <c r="G14" s="6" t="s">
        <v>83</v>
      </c>
      <c r="H14" s="17" t="n">
        <v>0</v>
      </c>
      <c r="I14" s="12" t="n">
        <v>1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2" t="n">
        <v>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6" t="s">
        <v>4279</v>
      </c>
    </row>
  </sheetData>
  <autoFilter ref="A1:W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0" min="2" style="0" width="12"/>
    <col collapsed="false" customWidth="true" hidden="false" outlineLevel="0" max="11" min="11" style="0" width="10"/>
  </cols>
  <sheetData>
    <row r="1" customFormat="false" ht="31.5" hidden="false" customHeight="true" outlineLevel="0" collapsed="false">
      <c r="A1" s="4" t="s">
        <v>51</v>
      </c>
      <c r="B1" s="4" t="s">
        <v>242</v>
      </c>
      <c r="C1" s="4" t="s">
        <v>148</v>
      </c>
      <c r="D1" s="4" t="s">
        <v>1841</v>
      </c>
      <c r="E1" s="4" t="s">
        <v>689</v>
      </c>
      <c r="F1" s="4" t="s">
        <v>2139</v>
      </c>
      <c r="G1" s="4" t="s">
        <v>2232</v>
      </c>
      <c r="H1" s="4" t="s">
        <v>4280</v>
      </c>
      <c r="I1" s="4" t="s">
        <v>4281</v>
      </c>
      <c r="J1" s="4" t="s">
        <v>4282</v>
      </c>
      <c r="K1" s="4" t="s">
        <v>4283</v>
      </c>
    </row>
    <row r="2" customFormat="false" ht="15" hidden="false" customHeight="false" outlineLevel="0" collapsed="false">
      <c r="A2" s="6" t="s">
        <v>73</v>
      </c>
      <c r="B2" s="18" t="s">
        <v>4284</v>
      </c>
      <c r="C2" s="18" t="s">
        <v>4284</v>
      </c>
      <c r="D2" s="6" t="s">
        <v>83</v>
      </c>
      <c r="E2" s="6" t="s">
        <v>83</v>
      </c>
      <c r="F2" s="6" t="s">
        <v>83</v>
      </c>
      <c r="G2" s="6" t="s">
        <v>83</v>
      </c>
      <c r="H2" s="18" t="s">
        <v>4284</v>
      </c>
      <c r="I2" s="18" t="s">
        <v>4284</v>
      </c>
      <c r="J2" s="6" t="s">
        <v>83</v>
      </c>
      <c r="K2" s="6" t="n">
        <f aca="false">COUNTIF(Material_Master!$B$2:$B$1000,A2)</f>
        <v>7</v>
      </c>
    </row>
    <row r="3" customFormat="false" ht="15" hidden="false" customHeight="false" outlineLevel="0" collapsed="false">
      <c r="A3" s="6" t="s">
        <v>139</v>
      </c>
      <c r="B3" s="6" t="s">
        <v>83</v>
      </c>
      <c r="C3" s="18" t="s">
        <v>4284</v>
      </c>
      <c r="D3" s="6" t="s">
        <v>83</v>
      </c>
      <c r="E3" s="19" t="s">
        <v>4285</v>
      </c>
      <c r="F3" s="6" t="s">
        <v>83</v>
      </c>
      <c r="G3" s="19" t="s">
        <v>4285</v>
      </c>
      <c r="H3" s="18" t="s">
        <v>4284</v>
      </c>
      <c r="I3" s="18" t="s">
        <v>4284</v>
      </c>
      <c r="J3" s="6" t="s">
        <v>83</v>
      </c>
      <c r="K3" s="6" t="n">
        <f aca="false">COUNTIF(Material_Master!$B$2:$B$1000,A3)</f>
        <v>7</v>
      </c>
    </row>
    <row r="4" customFormat="false" ht="15" hidden="false" customHeight="false" outlineLevel="0" collapsed="false">
      <c r="A4" s="6" t="s">
        <v>212</v>
      </c>
      <c r="B4" s="6" t="s">
        <v>83</v>
      </c>
      <c r="C4" s="18" t="s">
        <v>4284</v>
      </c>
      <c r="D4" s="6" t="s">
        <v>83</v>
      </c>
      <c r="E4" s="19" t="s">
        <v>4285</v>
      </c>
      <c r="F4" s="6" t="s">
        <v>83</v>
      </c>
      <c r="G4" s="19" t="s">
        <v>4285</v>
      </c>
      <c r="H4" s="18" t="s">
        <v>4284</v>
      </c>
      <c r="I4" s="18" t="s">
        <v>4284</v>
      </c>
      <c r="J4" s="6" t="s">
        <v>83</v>
      </c>
      <c r="K4" s="6" t="n">
        <f aca="false">COUNTIF(Material_Master!$B$2:$B$1000,A4)</f>
        <v>14</v>
      </c>
    </row>
    <row r="5" customFormat="false" ht="15" hidden="false" customHeight="false" outlineLevel="0" collapsed="false">
      <c r="A5" s="6" t="s">
        <v>354</v>
      </c>
      <c r="B5" s="6" t="s">
        <v>83</v>
      </c>
      <c r="C5" s="18" t="s">
        <v>4284</v>
      </c>
      <c r="D5" s="6" t="s">
        <v>83</v>
      </c>
      <c r="E5" s="19" t="s">
        <v>4285</v>
      </c>
      <c r="F5" s="6" t="s">
        <v>83</v>
      </c>
      <c r="G5" s="19" t="s">
        <v>4285</v>
      </c>
      <c r="H5" s="18" t="s">
        <v>4284</v>
      </c>
      <c r="I5" s="18" t="s">
        <v>4284</v>
      </c>
      <c r="J5" s="6" t="s">
        <v>83</v>
      </c>
      <c r="K5" s="6" t="n">
        <f aca="false">COUNTIF(Material_Master!$B$2:$B$1000,A5)</f>
        <v>9</v>
      </c>
    </row>
    <row r="6" customFormat="false" ht="15" hidden="false" customHeight="false" outlineLevel="0" collapsed="false">
      <c r="A6" s="6" t="s">
        <v>436</v>
      </c>
      <c r="B6" s="6" t="s">
        <v>83</v>
      </c>
      <c r="C6" s="18" t="s">
        <v>4284</v>
      </c>
      <c r="D6" s="6" t="s">
        <v>83</v>
      </c>
      <c r="E6" s="6" t="s">
        <v>83</v>
      </c>
      <c r="F6" s="6" t="s">
        <v>83</v>
      </c>
      <c r="G6" s="6" t="s">
        <v>83</v>
      </c>
      <c r="H6" s="18" t="s">
        <v>4284</v>
      </c>
      <c r="I6" s="18" t="s">
        <v>4284</v>
      </c>
      <c r="J6" s="6" t="s">
        <v>83</v>
      </c>
      <c r="K6" s="6" t="n">
        <f aca="false">COUNTIF(Material_Master!$B$2:$B$1000,A6)</f>
        <v>8</v>
      </c>
    </row>
    <row r="7" customFormat="false" ht="15" hidden="false" customHeight="false" outlineLevel="0" collapsed="false">
      <c r="A7" s="6" t="s">
        <v>493</v>
      </c>
      <c r="B7" s="19" t="s">
        <v>4285</v>
      </c>
      <c r="C7" s="18" t="s">
        <v>4284</v>
      </c>
      <c r="D7" s="6" t="s">
        <v>83</v>
      </c>
      <c r="E7" s="19" t="s">
        <v>4285</v>
      </c>
      <c r="F7" s="6" t="s">
        <v>83</v>
      </c>
      <c r="G7" s="19" t="s">
        <v>4285</v>
      </c>
      <c r="H7" s="18" t="s">
        <v>4284</v>
      </c>
      <c r="I7" s="18" t="s">
        <v>4284</v>
      </c>
      <c r="J7" s="6" t="s">
        <v>83</v>
      </c>
      <c r="K7" s="6" t="n">
        <f aca="false">COUNTIF(Material_Master!$B$2:$B$1000,A7)</f>
        <v>12</v>
      </c>
    </row>
    <row r="8" customFormat="false" ht="15" hidden="false" customHeight="false" outlineLevel="0" collapsed="false">
      <c r="A8" s="6" t="s">
        <v>715</v>
      </c>
      <c r="B8" s="18" t="s">
        <v>4284</v>
      </c>
      <c r="C8" s="6" t="s">
        <v>83</v>
      </c>
      <c r="D8" s="6" t="s">
        <v>83</v>
      </c>
      <c r="E8" s="6" t="s">
        <v>83</v>
      </c>
      <c r="F8" s="6" t="s">
        <v>83</v>
      </c>
      <c r="G8" s="19" t="s">
        <v>4285</v>
      </c>
      <c r="H8" s="18" t="s">
        <v>4284</v>
      </c>
      <c r="I8" s="18" t="s">
        <v>4284</v>
      </c>
      <c r="J8" s="6" t="s">
        <v>83</v>
      </c>
      <c r="K8" s="6" t="n">
        <f aca="false">COUNTIF(Material_Master!$B$2:$B$1000,A8)</f>
        <v>6</v>
      </c>
    </row>
    <row r="9" customFormat="false" ht="15" hidden="false" customHeight="false" outlineLevel="0" collapsed="false">
      <c r="A9" s="6" t="s">
        <v>603</v>
      </c>
      <c r="B9" s="18" t="s">
        <v>4284</v>
      </c>
      <c r="C9" s="18" t="s">
        <v>4284</v>
      </c>
      <c r="D9" s="6" t="s">
        <v>83</v>
      </c>
      <c r="E9" s="19" t="s">
        <v>4285</v>
      </c>
      <c r="F9" s="6" t="s">
        <v>83</v>
      </c>
      <c r="G9" s="6" t="s">
        <v>83</v>
      </c>
      <c r="H9" s="18" t="s">
        <v>4284</v>
      </c>
      <c r="I9" s="18" t="s">
        <v>4284</v>
      </c>
      <c r="J9" s="19" t="s">
        <v>4285</v>
      </c>
      <c r="K9" s="6" t="n">
        <f aca="false">COUNTIF(Material_Master!$B$2:$B$1000,A9)</f>
        <v>14</v>
      </c>
    </row>
    <row r="10" customFormat="false" ht="15" hidden="false" customHeight="false" outlineLevel="0" collapsed="false">
      <c r="A10" s="6" t="s">
        <v>762</v>
      </c>
      <c r="B10" s="18" t="s">
        <v>4284</v>
      </c>
      <c r="C10" s="6" t="s">
        <v>83</v>
      </c>
      <c r="D10" s="6" t="s">
        <v>83</v>
      </c>
      <c r="E10" s="6" t="s">
        <v>83</v>
      </c>
      <c r="F10" s="6" t="s">
        <v>83</v>
      </c>
      <c r="G10" s="19" t="s">
        <v>4285</v>
      </c>
      <c r="H10" s="18" t="s">
        <v>4284</v>
      </c>
      <c r="I10" s="6" t="s">
        <v>83</v>
      </c>
      <c r="J10" s="18" t="s">
        <v>4284</v>
      </c>
      <c r="K10" s="6" t="n">
        <f aca="false">COUNTIF(Material_Master!$B$2:$B$1000,A10)</f>
        <v>16</v>
      </c>
    </row>
    <row r="11" customFormat="false" ht="15" hidden="false" customHeight="false" outlineLevel="0" collapsed="false">
      <c r="A11" s="6" t="s">
        <v>887</v>
      </c>
      <c r="B11" s="18" t="s">
        <v>4284</v>
      </c>
      <c r="C11" s="6" t="s">
        <v>83</v>
      </c>
      <c r="D11" s="6" t="s">
        <v>83</v>
      </c>
      <c r="E11" s="6" t="s">
        <v>83</v>
      </c>
      <c r="F11" s="6" t="s">
        <v>83</v>
      </c>
      <c r="G11" s="6" t="s">
        <v>83</v>
      </c>
      <c r="H11" s="18" t="s">
        <v>4284</v>
      </c>
      <c r="I11" s="19" t="s">
        <v>4285</v>
      </c>
      <c r="J11" s="18" t="s">
        <v>4284</v>
      </c>
      <c r="K11" s="6" t="n">
        <f aca="false">COUNTIF(Material_Master!$B$2:$B$1000,A11)</f>
        <v>18</v>
      </c>
    </row>
    <row r="12" customFormat="false" ht="15" hidden="false" customHeight="false" outlineLevel="0" collapsed="false">
      <c r="A12" s="6" t="s">
        <v>1026</v>
      </c>
      <c r="B12" s="18" t="s">
        <v>4284</v>
      </c>
      <c r="C12" s="6" t="s">
        <v>83</v>
      </c>
      <c r="D12" s="6" t="s">
        <v>83</v>
      </c>
      <c r="E12" s="6" t="s">
        <v>83</v>
      </c>
      <c r="F12" s="6" t="s">
        <v>83</v>
      </c>
      <c r="G12" s="6" t="s">
        <v>83</v>
      </c>
      <c r="H12" s="18" t="s">
        <v>4284</v>
      </c>
      <c r="I12" s="6" t="s">
        <v>83</v>
      </c>
      <c r="J12" s="18" t="s">
        <v>4284</v>
      </c>
      <c r="K12" s="6" t="n">
        <f aca="false">COUNTIF(Material_Master!$B$2:$B$1000,A12)</f>
        <v>6</v>
      </c>
    </row>
    <row r="13" customFormat="false" ht="15" hidden="false" customHeight="false" outlineLevel="0" collapsed="false">
      <c r="A13" s="6" t="s">
        <v>1068</v>
      </c>
      <c r="B13" s="18" t="s">
        <v>4284</v>
      </c>
      <c r="C13" s="6" t="s">
        <v>83</v>
      </c>
      <c r="D13" s="6" t="s">
        <v>83</v>
      </c>
      <c r="E13" s="6" t="s">
        <v>83</v>
      </c>
      <c r="F13" s="6" t="s">
        <v>83</v>
      </c>
      <c r="G13" s="19" t="s">
        <v>4285</v>
      </c>
      <c r="H13" s="18" t="s">
        <v>4284</v>
      </c>
      <c r="I13" s="6" t="s">
        <v>83</v>
      </c>
      <c r="J13" s="18" t="s">
        <v>4284</v>
      </c>
      <c r="K13" s="6" t="n">
        <f aca="false">COUNTIF(Material_Master!$B$2:$B$1000,A13)</f>
        <v>13</v>
      </c>
    </row>
    <row r="14" customFormat="false" ht="15" hidden="false" customHeight="false" outlineLevel="0" collapsed="false">
      <c r="A14" s="6" t="s">
        <v>1160</v>
      </c>
      <c r="B14" s="18" t="s">
        <v>4284</v>
      </c>
      <c r="C14" s="6" t="s">
        <v>83</v>
      </c>
      <c r="D14" s="6" t="s">
        <v>83</v>
      </c>
      <c r="E14" s="6" t="s">
        <v>83</v>
      </c>
      <c r="F14" s="6" t="s">
        <v>83</v>
      </c>
      <c r="G14" s="19" t="s">
        <v>4285</v>
      </c>
      <c r="H14" s="18" t="s">
        <v>4284</v>
      </c>
      <c r="I14" s="6" t="s">
        <v>83</v>
      </c>
      <c r="J14" s="18" t="s">
        <v>4284</v>
      </c>
      <c r="K14" s="6" t="n">
        <f aca="false">COUNTIF(Material_Master!$B$2:$B$1000,A14)</f>
        <v>9</v>
      </c>
    </row>
    <row r="15" customFormat="false" ht="15" hidden="false" customHeight="false" outlineLevel="0" collapsed="false">
      <c r="A15" s="6" t="s">
        <v>1226</v>
      </c>
      <c r="B15" s="18" t="s">
        <v>4284</v>
      </c>
      <c r="C15" s="6" t="s">
        <v>83</v>
      </c>
      <c r="D15" s="19" t="s">
        <v>4285</v>
      </c>
      <c r="E15" s="19" t="s">
        <v>4285</v>
      </c>
      <c r="F15" s="6" t="s">
        <v>83</v>
      </c>
      <c r="G15" s="6" t="s">
        <v>83</v>
      </c>
      <c r="H15" s="18" t="s">
        <v>4284</v>
      </c>
      <c r="I15" s="6" t="s">
        <v>83</v>
      </c>
      <c r="J15" s="18" t="s">
        <v>4284</v>
      </c>
      <c r="K15" s="6" t="n">
        <f aca="false">COUNTIF(Material_Master!$B$2:$B$1000,A15)</f>
        <v>11</v>
      </c>
    </row>
    <row r="16" customFormat="false" ht="15" hidden="false" customHeight="false" outlineLevel="0" collapsed="false">
      <c r="A16" s="6" t="s">
        <v>1294</v>
      </c>
      <c r="B16" s="6" t="s">
        <v>83</v>
      </c>
      <c r="C16" s="6" t="s">
        <v>83</v>
      </c>
      <c r="D16" s="6" t="s">
        <v>83</v>
      </c>
      <c r="E16" s="18" t="s">
        <v>4284</v>
      </c>
      <c r="F16" s="6" t="s">
        <v>83</v>
      </c>
      <c r="G16" s="19" t="s">
        <v>4285</v>
      </c>
      <c r="H16" s="18" t="s">
        <v>4284</v>
      </c>
      <c r="I16" s="19" t="s">
        <v>4285</v>
      </c>
      <c r="J16" s="18" t="s">
        <v>4284</v>
      </c>
      <c r="K16" s="6" t="n">
        <f aca="false">COUNTIF(Material_Master!$B$2:$B$1000,A16)</f>
        <v>24</v>
      </c>
    </row>
    <row r="17" customFormat="false" ht="15" hidden="false" customHeight="false" outlineLevel="0" collapsed="false">
      <c r="A17" s="6" t="s">
        <v>1480</v>
      </c>
      <c r="B17" s="6" t="s">
        <v>83</v>
      </c>
      <c r="C17" s="6" t="s">
        <v>83</v>
      </c>
      <c r="D17" s="6" t="s">
        <v>83</v>
      </c>
      <c r="E17" s="18" t="s">
        <v>4284</v>
      </c>
      <c r="F17" s="6" t="s">
        <v>83</v>
      </c>
      <c r="G17" s="18" t="s">
        <v>4284</v>
      </c>
      <c r="H17" s="18" t="s">
        <v>4284</v>
      </c>
      <c r="I17" s="18" t="s">
        <v>4284</v>
      </c>
      <c r="J17" s="19" t="s">
        <v>4285</v>
      </c>
      <c r="K17" s="6" t="n">
        <f aca="false">COUNTIF(Material_Master!$B$2:$B$1000,A17)</f>
        <v>23</v>
      </c>
    </row>
    <row r="18" customFormat="false" ht="15" hidden="false" customHeight="false" outlineLevel="0" collapsed="false">
      <c r="A18" s="6" t="s">
        <v>1666</v>
      </c>
      <c r="B18" s="6" t="s">
        <v>83</v>
      </c>
      <c r="C18" s="6" t="s">
        <v>83</v>
      </c>
      <c r="D18" s="6" t="s">
        <v>83</v>
      </c>
      <c r="E18" s="18" t="s">
        <v>4284</v>
      </c>
      <c r="F18" s="6" t="s">
        <v>83</v>
      </c>
      <c r="G18" s="6" t="s">
        <v>83</v>
      </c>
      <c r="H18" s="18" t="s">
        <v>4284</v>
      </c>
      <c r="I18" s="6" t="s">
        <v>83</v>
      </c>
      <c r="J18" s="18" t="s">
        <v>4284</v>
      </c>
      <c r="K18" s="6" t="n">
        <f aca="false">COUNTIF(Material_Master!$B$2:$B$1000,A18)</f>
        <v>19</v>
      </c>
    </row>
    <row r="19" customFormat="false" ht="15" hidden="false" customHeight="false" outlineLevel="0" collapsed="false">
      <c r="A19" s="6" t="s">
        <v>1796</v>
      </c>
      <c r="B19" s="6" t="s">
        <v>83</v>
      </c>
      <c r="C19" s="6" t="s">
        <v>83</v>
      </c>
      <c r="D19" s="6" t="s">
        <v>83</v>
      </c>
      <c r="E19" s="18" t="s">
        <v>4284</v>
      </c>
      <c r="F19" s="6" t="s">
        <v>83</v>
      </c>
      <c r="G19" s="6" t="s">
        <v>83</v>
      </c>
      <c r="H19" s="18" t="s">
        <v>4284</v>
      </c>
      <c r="I19" s="18" t="s">
        <v>4284</v>
      </c>
      <c r="J19" s="19" t="s">
        <v>4285</v>
      </c>
      <c r="K19" s="6" t="n">
        <f aca="false">COUNTIF(Material_Master!$B$2:$B$1000,A19)</f>
        <v>6</v>
      </c>
    </row>
    <row r="20" customFormat="false" ht="15" hidden="false" customHeight="false" outlineLevel="0" collapsed="false">
      <c r="A20" s="6" t="s">
        <v>1841</v>
      </c>
      <c r="B20" s="6" t="s">
        <v>83</v>
      </c>
      <c r="C20" s="6" t="s">
        <v>83</v>
      </c>
      <c r="D20" s="18" t="s">
        <v>4284</v>
      </c>
      <c r="E20" s="6" t="s">
        <v>83</v>
      </c>
      <c r="F20" s="19" t="s">
        <v>4285</v>
      </c>
      <c r="G20" s="19" t="s">
        <v>4285</v>
      </c>
      <c r="H20" s="18" t="s">
        <v>4284</v>
      </c>
      <c r="I20" s="19" t="s">
        <v>4285</v>
      </c>
      <c r="J20" s="18" t="s">
        <v>4284</v>
      </c>
      <c r="K20" s="6" t="n">
        <f aca="false">COUNTIF(Material_Master!$B$2:$B$1000,A20)</f>
        <v>40</v>
      </c>
    </row>
    <row r="21" customFormat="false" ht="15" hidden="false" customHeight="false" outlineLevel="0" collapsed="false">
      <c r="A21" s="6" t="s">
        <v>2211</v>
      </c>
      <c r="B21" s="6" t="s">
        <v>83</v>
      </c>
      <c r="C21" s="6" t="s">
        <v>83</v>
      </c>
      <c r="D21" s="18" t="s">
        <v>4284</v>
      </c>
      <c r="E21" s="6" t="s">
        <v>83</v>
      </c>
      <c r="F21" s="6" t="s">
        <v>83</v>
      </c>
      <c r="G21" s="6" t="s">
        <v>83</v>
      </c>
      <c r="H21" s="18" t="s">
        <v>4284</v>
      </c>
      <c r="I21" s="19" t="s">
        <v>4285</v>
      </c>
      <c r="J21" s="19" t="s">
        <v>4285</v>
      </c>
      <c r="K21" s="6" t="n">
        <f aca="false">COUNTIF(Material_Master!$B$2:$B$1000,A21)</f>
        <v>3</v>
      </c>
    </row>
    <row r="22" customFormat="false" ht="15" hidden="false" customHeight="false" outlineLevel="0" collapsed="false">
      <c r="A22" s="6" t="s">
        <v>2131</v>
      </c>
      <c r="B22" s="6" t="s">
        <v>83</v>
      </c>
      <c r="C22" s="6" t="s">
        <v>83</v>
      </c>
      <c r="D22" s="19" t="s">
        <v>4285</v>
      </c>
      <c r="E22" s="19" t="s">
        <v>4285</v>
      </c>
      <c r="F22" s="18" t="s">
        <v>4284</v>
      </c>
      <c r="G22" s="6" t="s">
        <v>83</v>
      </c>
      <c r="H22" s="18" t="s">
        <v>4284</v>
      </c>
      <c r="I22" s="19" t="s">
        <v>4285</v>
      </c>
      <c r="J22" s="18" t="s">
        <v>4284</v>
      </c>
      <c r="K22" s="6" t="n">
        <f aca="false">COUNTIF(Material_Master!$B$2:$B$1000,A22)</f>
        <v>13</v>
      </c>
    </row>
    <row r="23" customFormat="false" ht="15" hidden="false" customHeight="false" outlineLevel="0" collapsed="false">
      <c r="A23" s="6" t="s">
        <v>2232</v>
      </c>
      <c r="B23" s="19" t="s">
        <v>4285</v>
      </c>
      <c r="C23" s="19" t="s">
        <v>4285</v>
      </c>
      <c r="D23" s="6" t="s">
        <v>83</v>
      </c>
      <c r="E23" s="19" t="s">
        <v>4285</v>
      </c>
      <c r="F23" s="6" t="s">
        <v>83</v>
      </c>
      <c r="G23" s="18" t="s">
        <v>4284</v>
      </c>
      <c r="H23" s="18" t="s">
        <v>4284</v>
      </c>
      <c r="I23" s="19" t="s">
        <v>4285</v>
      </c>
      <c r="J23" s="18" t="s">
        <v>4284</v>
      </c>
      <c r="K23" s="6" t="n">
        <f aca="false">COUNTIF(Material_Master!$B$2:$B$1000,A23)</f>
        <v>12</v>
      </c>
    </row>
    <row r="24" customFormat="false" ht="15" hidden="false" customHeight="false" outlineLevel="0" collapsed="false">
      <c r="A24" s="6" t="s">
        <v>2323</v>
      </c>
      <c r="B24" s="6" t="s">
        <v>83</v>
      </c>
      <c r="C24" s="6" t="s">
        <v>83</v>
      </c>
      <c r="D24" s="6" t="s">
        <v>83</v>
      </c>
      <c r="E24" s="19" t="s">
        <v>4285</v>
      </c>
      <c r="F24" s="6" t="s">
        <v>83</v>
      </c>
      <c r="G24" s="18" t="s">
        <v>4284</v>
      </c>
      <c r="H24" s="18" t="s">
        <v>4284</v>
      </c>
      <c r="I24" s="18" t="s">
        <v>4284</v>
      </c>
      <c r="J24" s="6" t="s">
        <v>83</v>
      </c>
      <c r="K24" s="6" t="n">
        <f aca="false">COUNTIF(Material_Master!$B$2:$B$1000,A24)</f>
        <v>7</v>
      </c>
    </row>
    <row r="25" customFormat="false" ht="15" hidden="false" customHeight="false" outlineLevel="0" collapsed="false">
      <c r="A25" s="6" t="s">
        <v>2362</v>
      </c>
      <c r="B25" s="6" t="s">
        <v>83</v>
      </c>
      <c r="C25" s="6" t="s">
        <v>83</v>
      </c>
      <c r="D25" s="19" t="s">
        <v>4285</v>
      </c>
      <c r="E25" s="6" t="s">
        <v>83</v>
      </c>
      <c r="F25" s="6" t="s">
        <v>83</v>
      </c>
      <c r="G25" s="6" t="s">
        <v>83</v>
      </c>
      <c r="H25" s="18" t="s">
        <v>4284</v>
      </c>
      <c r="I25" s="6" t="s">
        <v>83</v>
      </c>
      <c r="J25" s="18" t="s">
        <v>4284</v>
      </c>
      <c r="K25" s="6" t="n">
        <f aca="false">COUNTIF(Material_Master!$B$2:$B$1000,A25)</f>
        <v>3</v>
      </c>
    </row>
    <row r="26" customFormat="false" ht="15" hidden="false" customHeight="false" outlineLevel="0" collapsed="false">
      <c r="A26" s="6" t="s">
        <v>2381</v>
      </c>
      <c r="B26" s="18" t="s">
        <v>4284</v>
      </c>
      <c r="C26" s="18" t="s">
        <v>4284</v>
      </c>
      <c r="D26" s="18" t="s">
        <v>4284</v>
      </c>
      <c r="E26" s="18" t="s">
        <v>4284</v>
      </c>
      <c r="F26" s="18" t="s">
        <v>4284</v>
      </c>
      <c r="G26" s="18" t="s">
        <v>4284</v>
      </c>
      <c r="H26" s="18" t="s">
        <v>4284</v>
      </c>
      <c r="I26" s="18" t="s">
        <v>4284</v>
      </c>
      <c r="J26" s="18" t="s">
        <v>4284</v>
      </c>
      <c r="K26" s="6" t="n">
        <f aca="false">COUNTIF(Material_Master!$B$2:$B$1000,A26)</f>
        <v>9</v>
      </c>
    </row>
    <row r="27" customFormat="false" ht="15" hidden="false" customHeight="false" outlineLevel="0" collapsed="false">
      <c r="A27" s="20" t="s">
        <v>4286</v>
      </c>
      <c r="K27" s="20" t="n">
        <f aca="false">SUM(K2:K26)</f>
        <v>309</v>
      </c>
    </row>
    <row r="29" customFormat="false" ht="64.15" hidden="false" customHeight="false" outlineLevel="0" collapsed="false">
      <c r="A29" s="6" t="s">
        <v>4287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70"/>
    <col collapsed="false" customWidth="true" hidden="false" outlineLevel="0" max="4" min="4" style="0" width="10"/>
  </cols>
  <sheetData>
    <row r="1" customFormat="false" ht="31.5" hidden="false" customHeight="true" outlineLevel="0" collapsed="false">
      <c r="A1" s="4" t="s">
        <v>4288</v>
      </c>
      <c r="B1" s="4" t="s">
        <v>4289</v>
      </c>
      <c r="C1" s="4" t="s">
        <v>4290</v>
      </c>
      <c r="D1" s="4" t="s">
        <v>4291</v>
      </c>
    </row>
    <row r="2" customFormat="false" ht="15" hidden="false" customHeight="false" outlineLevel="0" collapsed="false">
      <c r="A2" s="6" t="s">
        <v>86</v>
      </c>
      <c r="B2" s="6" t="s">
        <v>4292</v>
      </c>
      <c r="C2" s="6" t="s">
        <v>4293</v>
      </c>
      <c r="D2" s="6" t="n">
        <f aca="false">COUNTIF(Material_Master!$R$2:$R$1000,"*"&amp;A2&amp;"*")</f>
        <v>9</v>
      </c>
    </row>
    <row r="3" customFormat="false" ht="15" hidden="false" customHeight="false" outlineLevel="0" collapsed="false">
      <c r="A3" s="6" t="s">
        <v>132</v>
      </c>
      <c r="B3" s="6" t="s">
        <v>4294</v>
      </c>
      <c r="C3" s="6" t="s">
        <v>4295</v>
      </c>
      <c r="D3" s="6" t="n">
        <f aca="false">COUNTIF(Material_Master!$R$2:$R$1000,"*"&amp;A3&amp;"*")</f>
        <v>33</v>
      </c>
    </row>
    <row r="4" customFormat="false" ht="15" hidden="false" customHeight="false" outlineLevel="0" collapsed="false">
      <c r="A4" s="6" t="s">
        <v>307</v>
      </c>
      <c r="B4" s="6" t="s">
        <v>4296</v>
      </c>
      <c r="C4" s="6" t="s">
        <v>4297</v>
      </c>
      <c r="D4" s="6" t="n">
        <f aca="false">COUNTIF(Material_Master!$R$2:$R$1000,"*"&amp;A4&amp;"*")</f>
        <v>45</v>
      </c>
    </row>
    <row r="5" customFormat="false" ht="15" hidden="false" customHeight="false" outlineLevel="0" collapsed="false">
      <c r="A5" s="6" t="s">
        <v>523</v>
      </c>
      <c r="B5" s="6" t="s">
        <v>4298</v>
      </c>
      <c r="C5" s="6" t="s">
        <v>4299</v>
      </c>
      <c r="D5" s="6" t="n">
        <f aca="false">COUNTIF(Material_Master!$R$2:$R$1000,"*"&amp;A5&amp;"*")</f>
        <v>16</v>
      </c>
    </row>
    <row r="6" customFormat="false" ht="15" hidden="false" customHeight="false" outlineLevel="0" collapsed="false">
      <c r="A6" s="6" t="s">
        <v>1305</v>
      </c>
      <c r="B6" s="6" t="s">
        <v>4300</v>
      </c>
      <c r="C6" s="6" t="s">
        <v>4301</v>
      </c>
      <c r="D6" s="6" t="n">
        <f aca="false">COUNTIF(Material_Master!$R$2:$R$1000,"*"&amp;A6&amp;"*")</f>
        <v>21</v>
      </c>
    </row>
    <row r="7" customFormat="false" ht="15" hidden="false" customHeight="false" outlineLevel="0" collapsed="false">
      <c r="A7" s="6" t="s">
        <v>324</v>
      </c>
      <c r="B7" s="6" t="s">
        <v>4302</v>
      </c>
      <c r="C7" s="6" t="s">
        <v>4303</v>
      </c>
      <c r="D7" s="6" t="n">
        <f aca="false">COUNTIF(Material_Master!$R$2:$R$1000,"*"&amp;A7&amp;"*")</f>
        <v>15</v>
      </c>
    </row>
    <row r="8" customFormat="false" ht="15" hidden="false" customHeight="false" outlineLevel="0" collapsed="false">
      <c r="A8" s="6" t="s">
        <v>244</v>
      </c>
      <c r="B8" s="6" t="s">
        <v>4304</v>
      </c>
      <c r="C8" s="6" t="s">
        <v>4305</v>
      </c>
      <c r="D8" s="6" t="n">
        <f aca="false">COUNTIF(Material_Master!$R$2:$R$1000,"*"&amp;A8&amp;"*")</f>
        <v>83</v>
      </c>
    </row>
    <row r="9" customFormat="false" ht="15" hidden="false" customHeight="false" outlineLevel="0" collapsed="false">
      <c r="A9" s="6" t="s">
        <v>938</v>
      </c>
      <c r="B9" s="6" t="s">
        <v>4306</v>
      </c>
      <c r="C9" s="6" t="s">
        <v>4307</v>
      </c>
      <c r="D9" s="6" t="n">
        <f aca="false">COUNTIF(Material_Master!$R$2:$R$1000,"*"&amp;A9&amp;"*")</f>
        <v>25</v>
      </c>
    </row>
    <row r="10" customFormat="false" ht="15" hidden="false" customHeight="false" outlineLevel="0" collapsed="false">
      <c r="A10" s="6" t="s">
        <v>202</v>
      </c>
      <c r="B10" s="6" t="s">
        <v>4308</v>
      </c>
      <c r="C10" s="6" t="s">
        <v>4309</v>
      </c>
      <c r="D10" s="6" t="n">
        <f aca="false">COUNTIF(Material_Master!$R$2:$R$1000,"*"&amp;A10&amp;"*")</f>
        <v>44</v>
      </c>
    </row>
    <row r="11" customFormat="false" ht="15" hidden="false" customHeight="false" outlineLevel="0" collapsed="false">
      <c r="A11" s="6" t="s">
        <v>1218</v>
      </c>
      <c r="B11" s="6" t="s">
        <v>4310</v>
      </c>
      <c r="C11" s="6" t="s">
        <v>4311</v>
      </c>
      <c r="D11" s="6" t="n">
        <f aca="false">COUNTIF(Material_Master!$R$2:$R$1000,"*"&amp;A11&amp;"*")</f>
        <v>46</v>
      </c>
    </row>
  </sheetData>
  <autoFilter ref="A1:D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0"/>
    <col collapsed="false" customWidth="true" hidden="false" outlineLevel="0" max="3" min="3" style="0" width="36"/>
    <col collapsed="false" customWidth="true" hidden="false" outlineLevel="0" max="5" min="4" style="0" width="44"/>
  </cols>
  <sheetData>
    <row r="1" customFormat="false" ht="31.5" hidden="false" customHeight="true" outlineLevel="0" collapsed="false">
      <c r="A1" s="4" t="s">
        <v>63</v>
      </c>
      <c r="B1" s="4" t="s">
        <v>4312</v>
      </c>
      <c r="C1" s="4" t="s">
        <v>4313</v>
      </c>
      <c r="D1" s="4" t="s">
        <v>4314</v>
      </c>
      <c r="E1" s="4" t="s">
        <v>4315</v>
      </c>
    </row>
    <row r="2" customFormat="false" ht="22.35" hidden="false" customHeight="false" outlineLevel="0" collapsed="false">
      <c r="A2" s="6" t="s">
        <v>149</v>
      </c>
      <c r="B2" s="6" t="s">
        <v>4316</v>
      </c>
      <c r="C2" s="6" t="s">
        <v>4317</v>
      </c>
      <c r="D2" s="6" t="s">
        <v>4318</v>
      </c>
      <c r="E2" s="6" t="s">
        <v>4319</v>
      </c>
    </row>
    <row r="3" customFormat="false" ht="15" hidden="false" customHeight="false" outlineLevel="0" collapsed="false">
      <c r="A3" s="6" t="s">
        <v>4320</v>
      </c>
      <c r="B3" s="6" t="s">
        <v>4321</v>
      </c>
      <c r="C3" s="6" t="s">
        <v>4322</v>
      </c>
      <c r="D3" s="6" t="s">
        <v>4323</v>
      </c>
      <c r="E3" s="6" t="s">
        <v>4324</v>
      </c>
    </row>
    <row r="4" customFormat="false" ht="15" hidden="false" customHeight="false" outlineLevel="0" collapsed="false">
      <c r="A4" s="6" t="s">
        <v>4325</v>
      </c>
      <c r="B4" s="6" t="s">
        <v>4326</v>
      </c>
      <c r="C4" s="6" t="s">
        <v>4327</v>
      </c>
      <c r="D4" s="6" t="s">
        <v>4328</v>
      </c>
      <c r="E4" s="6" t="s">
        <v>4329</v>
      </c>
    </row>
    <row r="5" customFormat="false" ht="15" hidden="false" customHeight="false" outlineLevel="0" collapsed="false">
      <c r="A5" s="6" t="s">
        <v>4330</v>
      </c>
      <c r="B5" s="6" t="s">
        <v>4331</v>
      </c>
      <c r="C5" s="6" t="s">
        <v>4332</v>
      </c>
      <c r="D5" s="6" t="s">
        <v>4333</v>
      </c>
      <c r="E5" s="6" t="s">
        <v>4334</v>
      </c>
    </row>
    <row r="6" customFormat="false" ht="15" hidden="false" customHeight="false" outlineLevel="0" collapsed="false">
      <c r="A6" s="6" t="s">
        <v>4335</v>
      </c>
      <c r="B6" s="6" t="s">
        <v>4336</v>
      </c>
      <c r="C6" s="6" t="s">
        <v>4337</v>
      </c>
      <c r="D6" s="6" t="s">
        <v>4338</v>
      </c>
      <c r="E6" s="6" t="s">
        <v>4339</v>
      </c>
    </row>
    <row r="7" customFormat="false" ht="22.35" hidden="false" customHeight="false" outlineLevel="0" collapsed="false">
      <c r="A7" s="6" t="s">
        <v>4340</v>
      </c>
      <c r="B7" s="6" t="s">
        <v>4341</v>
      </c>
      <c r="C7" s="6" t="s">
        <v>4342</v>
      </c>
      <c r="D7" s="6" t="s">
        <v>4343</v>
      </c>
      <c r="E7" s="6" t="s">
        <v>4344</v>
      </c>
    </row>
    <row r="8" customFormat="false" ht="15" hidden="false" customHeight="false" outlineLevel="0" collapsed="false">
      <c r="A8" s="6" t="s">
        <v>4345</v>
      </c>
      <c r="B8" s="6" t="s">
        <v>4346</v>
      </c>
      <c r="C8" s="6" t="s">
        <v>4347</v>
      </c>
      <c r="D8" s="6" t="s">
        <v>2122</v>
      </c>
      <c r="E8" s="6" t="s">
        <v>4348</v>
      </c>
    </row>
    <row r="9" customFormat="false" ht="15" hidden="false" customHeight="false" outlineLevel="0" collapsed="false">
      <c r="A9" s="6" t="s">
        <v>94</v>
      </c>
      <c r="B9" s="6" t="s">
        <v>4349</v>
      </c>
      <c r="C9" s="6" t="s">
        <v>4350</v>
      </c>
      <c r="D9" s="6" t="s">
        <v>94</v>
      </c>
      <c r="E9" s="6" t="s">
        <v>4351</v>
      </c>
    </row>
    <row r="10" customFormat="false" ht="15" hidden="false" customHeight="false" outlineLevel="0" collapsed="false">
      <c r="A10" s="6" t="s">
        <v>2227</v>
      </c>
      <c r="B10" s="6" t="s">
        <v>4352</v>
      </c>
      <c r="C10" s="6" t="s">
        <v>4353</v>
      </c>
      <c r="D10" s="6" t="s">
        <v>4354</v>
      </c>
      <c r="E10" s="6" t="s">
        <v>4355</v>
      </c>
    </row>
    <row r="11" customFormat="false" ht="15" hidden="false" customHeight="false" outlineLevel="0" collapsed="false">
      <c r="A11" s="6" t="s">
        <v>2350</v>
      </c>
      <c r="B11" s="6" t="s">
        <v>4356</v>
      </c>
      <c r="C11" s="6" t="s">
        <v>4357</v>
      </c>
      <c r="D11" s="6" t="s">
        <v>4358</v>
      </c>
      <c r="E11" s="6"/>
    </row>
    <row r="12" customFormat="false" ht="53.7" hidden="false" customHeight="false" outlineLevel="0" collapsed="false">
      <c r="A12" s="6" t="s">
        <v>4359</v>
      </c>
      <c r="B12" s="6" t="s">
        <v>4360</v>
      </c>
      <c r="C12" s="6" t="s">
        <v>4361</v>
      </c>
      <c r="D12" s="6"/>
      <c r="E12" s="6" t="s">
        <v>4362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30"/>
  </cols>
  <sheetData>
    <row r="1" customFormat="false" ht="31.5" hidden="false" customHeight="true" outlineLevel="0" collapsed="false">
      <c r="A1" s="4" t="s">
        <v>55</v>
      </c>
      <c r="B1" s="4" t="s">
        <v>4289</v>
      </c>
      <c r="C1" s="4" t="s">
        <v>4363</v>
      </c>
      <c r="D1" s="4" t="s">
        <v>4364</v>
      </c>
      <c r="E1" s="4" t="s">
        <v>4365</v>
      </c>
    </row>
    <row r="2" customFormat="false" ht="15" hidden="false" customHeight="false" outlineLevel="0" collapsed="false">
      <c r="A2" s="6" t="s">
        <v>143</v>
      </c>
      <c r="B2" s="6" t="s">
        <v>4366</v>
      </c>
      <c r="C2" s="6" t="s">
        <v>304</v>
      </c>
      <c r="D2" s="21" t="n">
        <v>0.0283168</v>
      </c>
      <c r="E2" s="6" t="s">
        <v>4367</v>
      </c>
    </row>
    <row r="3" customFormat="false" ht="15" hidden="false" customHeight="false" outlineLevel="0" collapsed="false">
      <c r="A3" s="6" t="s">
        <v>182</v>
      </c>
      <c r="B3" s="6" t="s">
        <v>4368</v>
      </c>
      <c r="C3" s="6" t="s">
        <v>2499</v>
      </c>
      <c r="D3" s="21" t="n">
        <v>0.092903</v>
      </c>
      <c r="E3" s="6" t="s">
        <v>4369</v>
      </c>
    </row>
    <row r="4" customFormat="false" ht="15" hidden="false" customHeight="false" outlineLevel="0" collapsed="false">
      <c r="A4" s="6" t="s">
        <v>77</v>
      </c>
      <c r="B4" s="6" t="s">
        <v>4370</v>
      </c>
      <c r="C4" s="6" t="s">
        <v>1885</v>
      </c>
      <c r="D4" s="21" t="n">
        <v>0.3048</v>
      </c>
      <c r="E4" s="6" t="s">
        <v>4371</v>
      </c>
    </row>
    <row r="5" customFormat="false" ht="15" hidden="false" customHeight="false" outlineLevel="0" collapsed="false">
      <c r="A5" s="6" t="s">
        <v>1885</v>
      </c>
      <c r="B5" s="6" t="s">
        <v>4372</v>
      </c>
      <c r="C5" s="6" t="s">
        <v>1885</v>
      </c>
      <c r="D5" s="21" t="n">
        <v>1</v>
      </c>
      <c r="E5" s="6" t="s">
        <v>4373</v>
      </c>
    </row>
    <row r="6" customFormat="false" ht="15" hidden="false" customHeight="false" outlineLevel="0" collapsed="false">
      <c r="A6" s="6" t="s">
        <v>238</v>
      </c>
      <c r="B6" s="6" t="s">
        <v>4374</v>
      </c>
      <c r="C6" s="6" t="s">
        <v>238</v>
      </c>
      <c r="D6" s="21" t="n">
        <v>1</v>
      </c>
      <c r="E6" s="6" t="s">
        <v>4375</v>
      </c>
    </row>
    <row r="7" customFormat="false" ht="15" hidden="false" customHeight="false" outlineLevel="0" collapsed="false">
      <c r="A7" s="6" t="s">
        <v>4376</v>
      </c>
      <c r="B7" s="6" t="s">
        <v>4377</v>
      </c>
      <c r="C7" s="6" t="s">
        <v>238</v>
      </c>
      <c r="D7" s="21" t="n">
        <v>1000</v>
      </c>
      <c r="E7" s="6" t="s">
        <v>4378</v>
      </c>
    </row>
    <row r="8" customFormat="false" ht="15" hidden="false" customHeight="false" outlineLevel="0" collapsed="false">
      <c r="A8" s="6" t="s">
        <v>216</v>
      </c>
      <c r="B8" s="6" t="s">
        <v>4379</v>
      </c>
      <c r="C8" s="6" t="s">
        <v>238</v>
      </c>
      <c r="D8" s="21" t="n">
        <v>50</v>
      </c>
      <c r="E8" s="6" t="s">
        <v>4380</v>
      </c>
    </row>
    <row r="9" customFormat="false" ht="15" hidden="false" customHeight="false" outlineLevel="0" collapsed="false">
      <c r="A9" s="6" t="s">
        <v>115</v>
      </c>
      <c r="B9" s="6" t="s">
        <v>3764</v>
      </c>
      <c r="C9" s="6" t="s">
        <v>83</v>
      </c>
      <c r="D9" s="21" t="n">
        <v>1</v>
      </c>
      <c r="E9" s="6" t="s">
        <v>4381</v>
      </c>
    </row>
    <row r="10" customFormat="false" ht="15" hidden="false" customHeight="false" outlineLevel="0" collapsed="false">
      <c r="A10" s="6" t="s">
        <v>932</v>
      </c>
      <c r="B10" s="6" t="s">
        <v>932</v>
      </c>
      <c r="C10" s="6" t="s">
        <v>83</v>
      </c>
      <c r="D10" s="21" t="n">
        <v>1</v>
      </c>
      <c r="E10" s="6" t="s">
        <v>4382</v>
      </c>
    </row>
    <row r="11" customFormat="false" ht="15" hidden="false" customHeight="false" outlineLevel="0" collapsed="false">
      <c r="A11" s="6" t="s">
        <v>620</v>
      </c>
      <c r="B11" s="6" t="s">
        <v>4383</v>
      </c>
      <c r="C11" s="6" t="s">
        <v>176</v>
      </c>
      <c r="D11" s="21" t="n">
        <v>3.64</v>
      </c>
      <c r="E11" s="6" t="s">
        <v>4384</v>
      </c>
    </row>
    <row r="12" customFormat="false" ht="15" hidden="false" customHeight="false" outlineLevel="0" collapsed="false">
      <c r="A12" s="6" t="s">
        <v>176</v>
      </c>
      <c r="B12" s="6" t="s">
        <v>4385</v>
      </c>
      <c r="C12" s="6" t="s">
        <v>176</v>
      </c>
      <c r="D12" s="21" t="n">
        <v>1</v>
      </c>
      <c r="E12" s="6" t="s">
        <v>4386</v>
      </c>
    </row>
    <row r="13" customFormat="false" ht="15" hidden="false" customHeight="false" outlineLevel="0" collapsed="false">
      <c r="A13" s="6" t="s">
        <v>4387</v>
      </c>
      <c r="B13" s="6" t="s">
        <v>4388</v>
      </c>
      <c r="C13" s="6" t="s">
        <v>1885</v>
      </c>
      <c r="D13" s="21" t="n">
        <v>90</v>
      </c>
      <c r="E13" s="6" t="s">
        <v>4389</v>
      </c>
    </row>
    <row r="14" customFormat="false" ht="15" hidden="false" customHeight="false" outlineLevel="0" collapsed="false">
      <c r="A14" s="6" t="s">
        <v>2438</v>
      </c>
      <c r="B14" s="6" t="s">
        <v>4390</v>
      </c>
      <c r="C14" s="6" t="s">
        <v>304</v>
      </c>
      <c r="D14" s="21" t="n">
        <v>2.83</v>
      </c>
      <c r="E14" s="6" t="s">
        <v>4391</v>
      </c>
    </row>
    <row r="15" customFormat="false" ht="15" hidden="false" customHeight="false" outlineLevel="0" collapsed="false">
      <c r="A15" s="6" t="s">
        <v>4392</v>
      </c>
      <c r="B15" s="6" t="s">
        <v>4393</v>
      </c>
      <c r="C15" s="6" t="s">
        <v>2499</v>
      </c>
      <c r="D15" s="21" t="n">
        <v>25.29</v>
      </c>
      <c r="E15" s="6" t="s">
        <v>4394</v>
      </c>
    </row>
    <row r="16" customFormat="false" ht="15" hidden="false" customHeight="false" outlineLevel="0" collapsed="false">
      <c r="A16" s="6" t="s">
        <v>4395</v>
      </c>
      <c r="B16" s="6" t="s">
        <v>4396</v>
      </c>
      <c r="C16" s="6" t="s">
        <v>2499</v>
      </c>
      <c r="D16" s="21" t="n">
        <v>505.86</v>
      </c>
      <c r="E16" s="6" t="s">
        <v>4397</v>
      </c>
    </row>
    <row r="17" customFormat="false" ht="15" hidden="false" customHeight="false" outlineLevel="0" collapsed="false">
      <c r="A17" s="6" t="s">
        <v>94</v>
      </c>
      <c r="B17" s="6" t="s">
        <v>4398</v>
      </c>
      <c r="C17" s="6" t="s">
        <v>83</v>
      </c>
      <c r="D17" s="21" t="n">
        <v>1</v>
      </c>
      <c r="E17" s="6" t="s">
        <v>2089</v>
      </c>
    </row>
    <row r="18" customFormat="false" ht="15" hidden="false" customHeight="false" outlineLevel="0" collapsed="false">
      <c r="A18" s="6" t="s">
        <v>2224</v>
      </c>
      <c r="B18" s="6" t="s">
        <v>4399</v>
      </c>
      <c r="C18" s="6" t="s">
        <v>2224</v>
      </c>
      <c r="D18" s="21" t="n">
        <v>1</v>
      </c>
      <c r="E18" s="6" t="s">
        <v>4400</v>
      </c>
    </row>
    <row r="19" customFormat="false" ht="15" hidden="false" customHeight="false" outlineLevel="0" collapsed="false">
      <c r="A19" s="6" t="s">
        <v>4401</v>
      </c>
      <c r="B19" s="6" t="s">
        <v>4402</v>
      </c>
      <c r="C19" s="6" t="s">
        <v>2224</v>
      </c>
      <c r="D19" s="21" t="n">
        <v>3.517</v>
      </c>
      <c r="E19" s="6" t="s">
        <v>4403</v>
      </c>
    </row>
    <row r="20" customFormat="false" ht="15" hidden="false" customHeight="false" outlineLevel="0" collapsed="false">
      <c r="A20" s="6" t="s">
        <v>3200</v>
      </c>
      <c r="B20" s="6" t="s">
        <v>4404</v>
      </c>
      <c r="C20" s="6" t="s">
        <v>4405</v>
      </c>
      <c r="D20" s="21" t="n">
        <v>25.4</v>
      </c>
      <c r="E20" s="6" t="s">
        <v>4406</v>
      </c>
    </row>
    <row r="21" customFormat="false" ht="15" hidden="false" customHeight="false" outlineLevel="0" collapsed="false">
      <c r="A21" s="6" t="s">
        <v>3224</v>
      </c>
      <c r="B21" s="6" t="s">
        <v>4407</v>
      </c>
      <c r="C21" s="6" t="s">
        <v>1885</v>
      </c>
      <c r="D21" s="21" t="n">
        <v>0.3048</v>
      </c>
      <c r="E21" s="6" t="s">
        <v>4406</v>
      </c>
    </row>
    <row r="22" customFormat="false" ht="15" hidden="false" customHeight="false" outlineLevel="0" collapsed="false">
      <c r="A22" s="6" t="s">
        <v>4408</v>
      </c>
      <c r="B22" s="6" t="s">
        <v>4409</v>
      </c>
      <c r="C22" s="6" t="s">
        <v>4410</v>
      </c>
      <c r="D22" s="21" t="n">
        <v>0.006895</v>
      </c>
      <c r="E22" s="6" t="s">
        <v>4411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30"/>
  </cols>
  <sheetData>
    <row r="1" customFormat="false" ht="31.5" hidden="false" customHeight="true" outlineLevel="0" collapsed="false">
      <c r="A1" s="4" t="s">
        <v>4412</v>
      </c>
      <c r="B1" s="4" t="s">
        <v>4413</v>
      </c>
      <c r="C1" s="4" t="s">
        <v>4414</v>
      </c>
      <c r="D1" s="4" t="s">
        <v>4415</v>
      </c>
      <c r="E1" s="4" t="s">
        <v>4416</v>
      </c>
    </row>
    <row r="2" customFormat="false" ht="22.35" hidden="false" customHeight="false" outlineLevel="0" collapsed="false">
      <c r="A2" s="6" t="s">
        <v>4417</v>
      </c>
      <c r="B2" s="6" t="s">
        <v>705</v>
      </c>
      <c r="C2" s="6" t="s">
        <v>4418</v>
      </c>
      <c r="D2" s="6" t="s">
        <v>4419</v>
      </c>
      <c r="E2" s="6" t="s">
        <v>4420</v>
      </c>
    </row>
    <row r="3" customFormat="false" ht="15" hidden="false" customHeight="false" outlineLevel="0" collapsed="false">
      <c r="A3" s="6" t="s">
        <v>4421</v>
      </c>
      <c r="B3" s="6" t="s">
        <v>705</v>
      </c>
      <c r="C3" s="6" t="s">
        <v>4422</v>
      </c>
      <c r="D3" s="6" t="s">
        <v>4423</v>
      </c>
      <c r="E3" s="6" t="s">
        <v>4424</v>
      </c>
    </row>
    <row r="4" customFormat="false" ht="15" hidden="false" customHeight="false" outlineLevel="0" collapsed="false">
      <c r="A4" s="6" t="s">
        <v>4425</v>
      </c>
      <c r="B4" s="6" t="s">
        <v>4426</v>
      </c>
      <c r="C4" s="6" t="s">
        <v>4427</v>
      </c>
      <c r="D4" s="6" t="s">
        <v>4428</v>
      </c>
      <c r="E4" s="6" t="s">
        <v>83</v>
      </c>
    </row>
    <row r="5" customFormat="false" ht="15" hidden="false" customHeight="false" outlineLevel="0" collapsed="false">
      <c r="A5" s="6" t="s">
        <v>4429</v>
      </c>
      <c r="B5" s="6" t="s">
        <v>4426</v>
      </c>
      <c r="C5" s="6" t="s">
        <v>4430</v>
      </c>
      <c r="D5" s="6" t="s">
        <v>4428</v>
      </c>
      <c r="E5" s="6" t="s">
        <v>83</v>
      </c>
    </row>
    <row r="6" customFormat="false" ht="15" hidden="false" customHeight="false" outlineLevel="0" collapsed="false">
      <c r="A6" s="6" t="s">
        <v>4431</v>
      </c>
      <c r="B6" s="6" t="s">
        <v>4432</v>
      </c>
      <c r="C6" s="6" t="s">
        <v>4433</v>
      </c>
      <c r="D6" s="6" t="s">
        <v>3942</v>
      </c>
      <c r="E6" s="6" t="s">
        <v>4434</v>
      </c>
    </row>
    <row r="7" customFormat="false" ht="15" hidden="false" customHeight="false" outlineLevel="0" collapsed="false">
      <c r="A7" s="6" t="s">
        <v>4435</v>
      </c>
      <c r="B7" s="6" t="s">
        <v>585</v>
      </c>
      <c r="C7" s="6" t="s">
        <v>4436</v>
      </c>
      <c r="D7" s="6" t="s">
        <v>4437</v>
      </c>
      <c r="E7" s="6" t="s">
        <v>4438</v>
      </c>
    </row>
    <row r="8" customFormat="false" ht="22.35" hidden="false" customHeight="false" outlineLevel="0" collapsed="false">
      <c r="A8" s="6" t="s">
        <v>4439</v>
      </c>
      <c r="B8" s="6" t="s">
        <v>4440</v>
      </c>
      <c r="C8" s="6" t="s">
        <v>4441</v>
      </c>
      <c r="D8" s="6" t="s">
        <v>4442</v>
      </c>
      <c r="E8" s="6" t="s">
        <v>4443</v>
      </c>
    </row>
    <row r="9" customFormat="false" ht="15" hidden="false" customHeight="false" outlineLevel="0" collapsed="false">
      <c r="A9" s="6" t="s">
        <v>4444</v>
      </c>
      <c r="B9" s="6" t="s">
        <v>4440</v>
      </c>
      <c r="C9" s="6" t="s">
        <v>4445</v>
      </c>
      <c r="D9" s="6" t="s">
        <v>3942</v>
      </c>
      <c r="E9" s="6" t="s">
        <v>25</v>
      </c>
    </row>
    <row r="10" customFormat="false" ht="15" hidden="false" customHeight="false" outlineLevel="0" collapsed="false">
      <c r="A10" s="6" t="s">
        <v>4446</v>
      </c>
      <c r="B10" s="6" t="s">
        <v>1100</v>
      </c>
      <c r="C10" s="6" t="s">
        <v>4447</v>
      </c>
      <c r="D10" s="6" t="s">
        <v>3942</v>
      </c>
      <c r="E10" s="6" t="s">
        <v>4448</v>
      </c>
    </row>
    <row r="11" customFormat="false" ht="15" hidden="false" customHeight="false" outlineLevel="0" collapsed="false">
      <c r="A11" s="6" t="s">
        <v>4449</v>
      </c>
      <c r="B11" s="6" t="s">
        <v>148</v>
      </c>
      <c r="C11" s="6" t="s">
        <v>4450</v>
      </c>
      <c r="D11" s="6" t="s">
        <v>4451</v>
      </c>
      <c r="E11" s="6" t="s">
        <v>83</v>
      </c>
    </row>
    <row r="12" customFormat="false" ht="15" hidden="false" customHeight="false" outlineLevel="0" collapsed="false">
      <c r="A12" s="6" t="s">
        <v>4452</v>
      </c>
      <c r="B12" s="6" t="s">
        <v>148</v>
      </c>
      <c r="C12" s="6" t="s">
        <v>4453</v>
      </c>
      <c r="D12" s="6" t="s">
        <v>3942</v>
      </c>
      <c r="E12" s="6" t="s">
        <v>4454</v>
      </c>
    </row>
    <row r="13" customFormat="false" ht="15" hidden="false" customHeight="false" outlineLevel="0" collapsed="false">
      <c r="A13" s="6" t="s">
        <v>4455</v>
      </c>
      <c r="B13" s="6" t="s">
        <v>148</v>
      </c>
      <c r="C13" s="6" t="s">
        <v>4456</v>
      </c>
      <c r="D13" s="6" t="s">
        <v>3942</v>
      </c>
      <c r="E13" s="6" t="s">
        <v>4457</v>
      </c>
    </row>
    <row r="14" customFormat="false" ht="15" hidden="false" customHeight="false" outlineLevel="0" collapsed="false">
      <c r="A14" s="6" t="s">
        <v>4458</v>
      </c>
      <c r="B14" s="6" t="s">
        <v>4459</v>
      </c>
      <c r="C14" s="6" t="s">
        <v>4460</v>
      </c>
      <c r="D14" s="6" t="s">
        <v>3942</v>
      </c>
      <c r="E14" s="6" t="s">
        <v>4461</v>
      </c>
    </row>
    <row r="15" customFormat="false" ht="15" hidden="false" customHeight="false" outlineLevel="0" collapsed="false">
      <c r="A15" s="6" t="s">
        <v>4462</v>
      </c>
      <c r="B15" s="6" t="s">
        <v>689</v>
      </c>
      <c r="C15" s="6" t="s">
        <v>4463</v>
      </c>
      <c r="D15" s="6" t="s">
        <v>4428</v>
      </c>
      <c r="E15" s="6" t="s">
        <v>83</v>
      </c>
    </row>
    <row r="16" customFormat="false" ht="15" hidden="false" customHeight="false" outlineLevel="0" collapsed="false">
      <c r="A16" s="6" t="s">
        <v>4464</v>
      </c>
      <c r="B16" s="6" t="s">
        <v>689</v>
      </c>
      <c r="C16" s="6" t="s">
        <v>4465</v>
      </c>
      <c r="D16" s="6" t="s">
        <v>4466</v>
      </c>
      <c r="E16" s="6" t="s">
        <v>4467</v>
      </c>
    </row>
    <row r="17" customFormat="false" ht="15" hidden="false" customHeight="false" outlineLevel="0" collapsed="false">
      <c r="A17" s="6" t="s">
        <v>3898</v>
      </c>
      <c r="B17" s="6" t="s">
        <v>689</v>
      </c>
      <c r="C17" s="6" t="s">
        <v>4468</v>
      </c>
      <c r="D17" s="6" t="s">
        <v>4469</v>
      </c>
      <c r="E17" s="6" t="s">
        <v>83</v>
      </c>
    </row>
    <row r="18" customFormat="false" ht="15" hidden="false" customHeight="false" outlineLevel="0" collapsed="false">
      <c r="A18" s="6" t="s">
        <v>4470</v>
      </c>
      <c r="B18" s="6" t="s">
        <v>1841</v>
      </c>
      <c r="C18" s="6" t="s">
        <v>1873</v>
      </c>
      <c r="D18" s="6" t="s">
        <v>4428</v>
      </c>
      <c r="E18" s="6" t="s">
        <v>83</v>
      </c>
    </row>
    <row r="19" customFormat="false" ht="15" hidden="false" customHeight="false" outlineLevel="0" collapsed="false">
      <c r="A19" s="6" t="s">
        <v>4471</v>
      </c>
      <c r="B19" s="6" t="s">
        <v>1841</v>
      </c>
      <c r="C19" s="6" t="s">
        <v>4472</v>
      </c>
      <c r="D19" s="6" t="s">
        <v>3942</v>
      </c>
      <c r="E19" s="6" t="s">
        <v>4473</v>
      </c>
    </row>
    <row r="20" customFormat="false" ht="15" hidden="false" customHeight="false" outlineLevel="0" collapsed="false">
      <c r="A20" s="6" t="s">
        <v>4474</v>
      </c>
      <c r="B20" s="6" t="s">
        <v>2139</v>
      </c>
      <c r="C20" s="6" t="s">
        <v>4475</v>
      </c>
      <c r="D20" s="6" t="s">
        <v>4476</v>
      </c>
      <c r="E20" s="6" t="s">
        <v>4477</v>
      </c>
    </row>
    <row r="21" customFormat="false" ht="15" hidden="false" customHeight="false" outlineLevel="0" collapsed="false">
      <c r="A21" s="6" t="s">
        <v>4478</v>
      </c>
      <c r="B21" s="6" t="s">
        <v>1776</v>
      </c>
      <c r="C21" s="6" t="s">
        <v>4479</v>
      </c>
      <c r="D21" s="6" t="s">
        <v>4480</v>
      </c>
      <c r="E21" s="6" t="s">
        <v>83</v>
      </c>
    </row>
    <row r="22" customFormat="false" ht="15" hidden="false" customHeight="false" outlineLevel="0" collapsed="false">
      <c r="A22" s="6" t="s">
        <v>4481</v>
      </c>
      <c r="B22" s="6" t="s">
        <v>567</v>
      </c>
      <c r="C22" s="6" t="s">
        <v>2903</v>
      </c>
      <c r="D22" s="6" t="s">
        <v>3942</v>
      </c>
      <c r="E22" s="6" t="s">
        <v>4199</v>
      </c>
    </row>
    <row r="23" customFormat="false" ht="15" hidden="false" customHeight="false" outlineLevel="0" collapsed="false">
      <c r="A23" s="6" t="s">
        <v>4482</v>
      </c>
      <c r="B23" s="6" t="s">
        <v>567</v>
      </c>
      <c r="C23" s="6" t="s">
        <v>4483</v>
      </c>
      <c r="D23" s="6" t="s">
        <v>3942</v>
      </c>
      <c r="E23" s="6" t="s">
        <v>4484</v>
      </c>
    </row>
    <row r="24" customFormat="false" ht="15" hidden="false" customHeight="false" outlineLevel="0" collapsed="false">
      <c r="A24" s="6" t="s">
        <v>4485</v>
      </c>
      <c r="B24" s="6" t="s">
        <v>2891</v>
      </c>
      <c r="C24" s="6" t="s">
        <v>1227</v>
      </c>
      <c r="D24" s="6" t="s">
        <v>4486</v>
      </c>
      <c r="E24" s="6" t="s">
        <v>4487</v>
      </c>
    </row>
    <row r="25" customFormat="false" ht="15" hidden="false" customHeight="false" outlineLevel="0" collapsed="false">
      <c r="A25" s="6" t="s">
        <v>4488</v>
      </c>
      <c r="B25" s="6" t="s">
        <v>4489</v>
      </c>
      <c r="C25" s="6" t="s">
        <v>4490</v>
      </c>
      <c r="D25" s="6" t="s">
        <v>4491</v>
      </c>
      <c r="E25" s="6" t="s">
        <v>4438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7" min="4" style="0" width="6"/>
    <col collapsed="false" customWidth="true" hidden="false" outlineLevel="0" max="11" min="8" style="0" width="10"/>
    <col collapsed="false" customWidth="true" hidden="false" outlineLevel="0" max="12" min="12" style="0" width="12"/>
    <col collapsed="false" customWidth="true" hidden="false" outlineLevel="0" max="13" min="13" style="0" width="10"/>
  </cols>
  <sheetData>
    <row r="1" customFormat="false" ht="31.5" hidden="false" customHeight="true" outlineLevel="0" collapsed="false">
      <c r="A1" s="4" t="s">
        <v>4492</v>
      </c>
      <c r="B1" s="4" t="s">
        <v>4493</v>
      </c>
      <c r="C1" s="4" t="s">
        <v>4200</v>
      </c>
      <c r="D1" s="4" t="s">
        <v>4494</v>
      </c>
      <c r="E1" s="4" t="s">
        <v>4495</v>
      </c>
      <c r="F1" s="4" t="s">
        <v>4496</v>
      </c>
      <c r="G1" s="4" t="s">
        <v>4497</v>
      </c>
      <c r="H1" s="4" t="s">
        <v>4498</v>
      </c>
      <c r="I1" s="4" t="s">
        <v>4499</v>
      </c>
      <c r="J1" s="4" t="s">
        <v>4500</v>
      </c>
      <c r="K1" s="4" t="s">
        <v>4501</v>
      </c>
      <c r="L1" s="4" t="s">
        <v>4502</v>
      </c>
      <c r="M1" s="4" t="s">
        <v>4503</v>
      </c>
    </row>
    <row r="2" customFormat="false" ht="15" hidden="false" customHeight="false" outlineLevel="0" collapsed="false">
      <c r="A2" s="6" t="s">
        <v>4504</v>
      </c>
      <c r="B2" s="6" t="s">
        <v>4505</v>
      </c>
      <c r="C2" s="6" t="s">
        <v>4224</v>
      </c>
      <c r="D2" s="12" t="n">
        <v>13</v>
      </c>
      <c r="E2" s="12" t="n">
        <v>4</v>
      </c>
      <c r="F2" s="12" t="n">
        <v>8</v>
      </c>
      <c r="G2" s="12" t="n">
        <v>9</v>
      </c>
      <c r="H2" s="14" t="n">
        <f aca="false">D2+E2/12</f>
        <v>13.3333333333333</v>
      </c>
      <c r="I2" s="14" t="n">
        <f aca="false">F2+G2/12</f>
        <v>8.75</v>
      </c>
      <c r="J2" s="22" t="n">
        <f aca="false">H2*I2</f>
        <v>116.666666666667</v>
      </c>
      <c r="K2" s="22" t="n">
        <f aca="false">2*(H2+I2)</f>
        <v>44.1666666666667</v>
      </c>
      <c r="L2" s="6" t="s">
        <v>4506</v>
      </c>
      <c r="M2" s="6" t="s">
        <v>3760</v>
      </c>
    </row>
    <row r="3" customFormat="false" ht="15" hidden="false" customHeight="false" outlineLevel="0" collapsed="false">
      <c r="A3" s="6" t="s">
        <v>4504</v>
      </c>
      <c r="B3" s="6" t="s">
        <v>4507</v>
      </c>
      <c r="C3" s="6" t="s">
        <v>4231</v>
      </c>
      <c r="D3" s="12" t="n">
        <v>18</v>
      </c>
      <c r="E3" s="12" t="n">
        <v>10</v>
      </c>
      <c r="F3" s="12" t="n">
        <v>9</v>
      </c>
      <c r="G3" s="12" t="n">
        <v>5</v>
      </c>
      <c r="H3" s="14" t="n">
        <f aca="false">D3+E3/12</f>
        <v>18.8333333333333</v>
      </c>
      <c r="I3" s="14" t="n">
        <f aca="false">F3+G3/12</f>
        <v>9.41666666666667</v>
      </c>
      <c r="J3" s="22" t="n">
        <f aca="false">H3*I3</f>
        <v>177.347222222222</v>
      </c>
      <c r="K3" s="22" t="n">
        <f aca="false">2*(H3+I3)</f>
        <v>56.5</v>
      </c>
      <c r="L3" s="6" t="s">
        <v>4506</v>
      </c>
      <c r="M3" s="6" t="s">
        <v>3760</v>
      </c>
    </row>
    <row r="4" customFormat="false" ht="15" hidden="false" customHeight="false" outlineLevel="0" collapsed="false">
      <c r="A4" s="6" t="s">
        <v>4504</v>
      </c>
      <c r="B4" s="6" t="s">
        <v>4508</v>
      </c>
      <c r="C4" s="6" t="s">
        <v>4217</v>
      </c>
      <c r="D4" s="12" t="n">
        <v>10</v>
      </c>
      <c r="E4" s="12" t="n">
        <v>3</v>
      </c>
      <c r="F4" s="12" t="n">
        <v>12</v>
      </c>
      <c r="G4" s="12" t="n">
        <v>6</v>
      </c>
      <c r="H4" s="14" t="n">
        <f aca="false">D4+E4/12</f>
        <v>10.25</v>
      </c>
      <c r="I4" s="14" t="n">
        <f aca="false">F4+G4/12</f>
        <v>12.5</v>
      </c>
      <c r="J4" s="22" t="n">
        <f aca="false">H4*I4</f>
        <v>128.125</v>
      </c>
      <c r="K4" s="22" t="n">
        <f aca="false">2*(H4+I4)</f>
        <v>45.5</v>
      </c>
      <c r="L4" s="6" t="s">
        <v>4506</v>
      </c>
      <c r="M4" s="6" t="s">
        <v>3760</v>
      </c>
    </row>
    <row r="5" customFormat="false" ht="15" hidden="false" customHeight="false" outlineLevel="0" collapsed="false">
      <c r="A5" s="6" t="s">
        <v>4504</v>
      </c>
      <c r="B5" s="6" t="s">
        <v>4509</v>
      </c>
      <c r="C5" s="6" t="s">
        <v>4217</v>
      </c>
      <c r="D5" s="12" t="n">
        <v>12</v>
      </c>
      <c r="E5" s="12" t="n">
        <v>0</v>
      </c>
      <c r="F5" s="12" t="n">
        <v>13</v>
      </c>
      <c r="G5" s="12" t="n">
        <v>0</v>
      </c>
      <c r="H5" s="14" t="n">
        <f aca="false">D5+E5/12</f>
        <v>12</v>
      </c>
      <c r="I5" s="14" t="n">
        <f aca="false">F5+G5/12</f>
        <v>13</v>
      </c>
      <c r="J5" s="22" t="n">
        <f aca="false">H5*I5</f>
        <v>156</v>
      </c>
      <c r="K5" s="22" t="n">
        <f aca="false">2*(H5+I5)</f>
        <v>50</v>
      </c>
      <c r="L5" s="6" t="s">
        <v>4506</v>
      </c>
      <c r="M5" s="6" t="s">
        <v>3760</v>
      </c>
    </row>
    <row r="6" customFormat="false" ht="15" hidden="false" customHeight="false" outlineLevel="0" collapsed="false">
      <c r="A6" s="6" t="s">
        <v>4504</v>
      </c>
      <c r="B6" s="6" t="s">
        <v>4510</v>
      </c>
      <c r="C6" s="6" t="s">
        <v>4241</v>
      </c>
      <c r="D6" s="12" t="n">
        <v>9</v>
      </c>
      <c r="E6" s="12" t="n">
        <v>10</v>
      </c>
      <c r="F6" s="12" t="n">
        <v>4</v>
      </c>
      <c r="G6" s="12" t="n">
        <v>6</v>
      </c>
      <c r="H6" s="14" t="n">
        <f aca="false">D6+E6/12</f>
        <v>9.83333333333333</v>
      </c>
      <c r="I6" s="14" t="n">
        <f aca="false">F6+G6/12</f>
        <v>4.5</v>
      </c>
      <c r="J6" s="22" t="n">
        <f aca="false">H6*I6</f>
        <v>44.25</v>
      </c>
      <c r="K6" s="22" t="n">
        <f aca="false">2*(H6+I6)</f>
        <v>28.6666666666667</v>
      </c>
      <c r="L6" s="6" t="s">
        <v>4506</v>
      </c>
      <c r="M6" s="6" t="s">
        <v>3760</v>
      </c>
    </row>
    <row r="7" customFormat="false" ht="15" hidden="false" customHeight="false" outlineLevel="0" collapsed="false">
      <c r="A7" s="6" t="s">
        <v>4504</v>
      </c>
      <c r="B7" s="6" t="s">
        <v>4511</v>
      </c>
      <c r="C7" s="6" t="s">
        <v>4241</v>
      </c>
      <c r="D7" s="12" t="n">
        <v>5</v>
      </c>
      <c r="E7" s="12" t="n">
        <v>0</v>
      </c>
      <c r="F7" s="12" t="n">
        <v>8</v>
      </c>
      <c r="G7" s="12" t="n">
        <v>9</v>
      </c>
      <c r="H7" s="14" t="n">
        <f aca="false">D7+E7/12</f>
        <v>5</v>
      </c>
      <c r="I7" s="14" t="n">
        <f aca="false">F7+G7/12</f>
        <v>8.75</v>
      </c>
      <c r="J7" s="22" t="n">
        <f aca="false">H7*I7</f>
        <v>43.75</v>
      </c>
      <c r="K7" s="22" t="n">
        <f aca="false">2*(H7+I7)</f>
        <v>27.5</v>
      </c>
      <c r="L7" s="6" t="s">
        <v>4506</v>
      </c>
      <c r="M7" s="6" t="s">
        <v>3760</v>
      </c>
    </row>
    <row r="8" customFormat="false" ht="15" hidden="false" customHeight="false" outlineLevel="0" collapsed="false">
      <c r="A8" s="6" t="s">
        <v>4504</v>
      </c>
      <c r="B8" s="6" t="s">
        <v>4236</v>
      </c>
      <c r="C8" s="6" t="s">
        <v>1226</v>
      </c>
      <c r="D8" s="12" t="n">
        <v>8</v>
      </c>
      <c r="E8" s="12" t="n">
        <v>6</v>
      </c>
      <c r="F8" s="12" t="n">
        <v>9</v>
      </c>
      <c r="G8" s="12" t="n">
        <v>3</v>
      </c>
      <c r="H8" s="14" t="n">
        <f aca="false">D8+E8/12</f>
        <v>8.5</v>
      </c>
      <c r="I8" s="14" t="n">
        <f aca="false">F8+G8/12</f>
        <v>9.25</v>
      </c>
      <c r="J8" s="22" t="n">
        <f aca="false">H8*I8</f>
        <v>78.625</v>
      </c>
      <c r="K8" s="22" t="n">
        <f aca="false">2*(H8+I8)</f>
        <v>35.5</v>
      </c>
      <c r="L8" s="6" t="s">
        <v>4506</v>
      </c>
      <c r="M8" s="6" t="s">
        <v>3760</v>
      </c>
    </row>
    <row r="9" customFormat="false" ht="15" hidden="false" customHeight="false" outlineLevel="0" collapsed="false">
      <c r="A9" s="6" t="s">
        <v>4504</v>
      </c>
      <c r="B9" s="6" t="s">
        <v>4512</v>
      </c>
      <c r="C9" s="6" t="s">
        <v>1752</v>
      </c>
      <c r="D9" s="12" t="n">
        <v>8</v>
      </c>
      <c r="E9" s="12" t="n">
        <v>6</v>
      </c>
      <c r="F9" s="12" t="n">
        <v>3</v>
      </c>
      <c r="G9" s="12" t="n">
        <v>5</v>
      </c>
      <c r="H9" s="14" t="n">
        <f aca="false">D9+E9/12</f>
        <v>8.5</v>
      </c>
      <c r="I9" s="14" t="n">
        <f aca="false">F9+G9/12</f>
        <v>3.41666666666667</v>
      </c>
      <c r="J9" s="22" t="n">
        <f aca="false">H9*I9</f>
        <v>29.0416666666667</v>
      </c>
      <c r="K9" s="22" t="n">
        <f aca="false">2*(H9+I9)</f>
        <v>23.8333333333333</v>
      </c>
      <c r="L9" s="6" t="s">
        <v>4506</v>
      </c>
      <c r="M9" s="6" t="s">
        <v>3760</v>
      </c>
    </row>
    <row r="10" customFormat="false" ht="15" hidden="false" customHeight="false" outlineLevel="0" collapsed="false">
      <c r="A10" s="6" t="s">
        <v>4504</v>
      </c>
      <c r="B10" s="6" t="s">
        <v>759</v>
      </c>
      <c r="C10" s="6" t="s">
        <v>4257</v>
      </c>
      <c r="D10" s="12" t="n">
        <v>12</v>
      </c>
      <c r="E10" s="12" t="n">
        <v>0</v>
      </c>
      <c r="F10" s="12" t="n">
        <v>16</v>
      </c>
      <c r="G10" s="12" t="n">
        <v>9</v>
      </c>
      <c r="H10" s="14" t="n">
        <f aca="false">D10+E10/12</f>
        <v>12</v>
      </c>
      <c r="I10" s="14" t="n">
        <f aca="false">F10+G10/12</f>
        <v>16.75</v>
      </c>
      <c r="J10" s="22" t="n">
        <f aca="false">H10*I10</f>
        <v>201</v>
      </c>
      <c r="K10" s="22" t="n">
        <f aca="false">2*(H10+I10)</f>
        <v>57.5</v>
      </c>
      <c r="L10" s="6" t="s">
        <v>4506</v>
      </c>
      <c r="M10" s="6" t="s">
        <v>3760</v>
      </c>
    </row>
    <row r="11" customFormat="false" ht="15" hidden="false" customHeight="false" outlineLevel="0" collapsed="false">
      <c r="A11" s="6" t="s">
        <v>4513</v>
      </c>
      <c r="B11" s="6" t="s">
        <v>4514</v>
      </c>
      <c r="C11" s="6" t="s">
        <v>4217</v>
      </c>
      <c r="D11" s="12" t="n">
        <v>13</v>
      </c>
      <c r="E11" s="12" t="n">
        <v>5</v>
      </c>
      <c r="F11" s="12" t="n">
        <v>11</v>
      </c>
      <c r="G11" s="12" t="n">
        <v>5</v>
      </c>
      <c r="H11" s="14" t="n">
        <f aca="false">D11+E11/12</f>
        <v>13.4166666666667</v>
      </c>
      <c r="I11" s="14" t="n">
        <f aca="false">F11+G11/12</f>
        <v>11.4166666666667</v>
      </c>
      <c r="J11" s="22" t="n">
        <f aca="false">H11*I11</f>
        <v>153.173611111111</v>
      </c>
      <c r="K11" s="22" t="n">
        <f aca="false">2*(H11+I11)</f>
        <v>49.6666666666667</v>
      </c>
      <c r="L11" s="6" t="s">
        <v>4506</v>
      </c>
      <c r="M11" s="6" t="s">
        <v>3760</v>
      </c>
    </row>
    <row r="12" customFormat="false" ht="15" hidden="false" customHeight="false" outlineLevel="0" collapsed="false">
      <c r="A12" s="6" t="s">
        <v>4513</v>
      </c>
      <c r="B12" s="6" t="s">
        <v>4515</v>
      </c>
      <c r="C12" s="6" t="s">
        <v>4231</v>
      </c>
      <c r="D12" s="12" t="n">
        <v>18</v>
      </c>
      <c r="E12" s="12" t="n">
        <v>9</v>
      </c>
      <c r="F12" s="12" t="n">
        <v>11</v>
      </c>
      <c r="G12" s="12" t="n">
        <v>3</v>
      </c>
      <c r="H12" s="14" t="n">
        <f aca="false">D12+E12/12</f>
        <v>18.75</v>
      </c>
      <c r="I12" s="14" t="n">
        <f aca="false">F12+G12/12</f>
        <v>11.25</v>
      </c>
      <c r="J12" s="22" t="n">
        <f aca="false">H12*I12</f>
        <v>210.9375</v>
      </c>
      <c r="K12" s="22" t="n">
        <f aca="false">2*(H12+I12)</f>
        <v>60</v>
      </c>
      <c r="L12" s="6" t="s">
        <v>4506</v>
      </c>
      <c r="M12" s="6" t="s">
        <v>3760</v>
      </c>
    </row>
    <row r="13" customFormat="false" ht="15" hidden="false" customHeight="false" outlineLevel="0" collapsed="false">
      <c r="A13" s="6" t="s">
        <v>4513</v>
      </c>
      <c r="B13" s="6" t="s">
        <v>4516</v>
      </c>
      <c r="C13" s="6" t="s">
        <v>4217</v>
      </c>
      <c r="D13" s="12" t="n">
        <v>12</v>
      </c>
      <c r="E13" s="12" t="n">
        <v>0</v>
      </c>
      <c r="F13" s="12" t="n">
        <v>13</v>
      </c>
      <c r="G13" s="12" t="n">
        <v>0</v>
      </c>
      <c r="H13" s="14" t="n">
        <f aca="false">D13+E13/12</f>
        <v>12</v>
      </c>
      <c r="I13" s="14" t="n">
        <f aca="false">F13+G13/12</f>
        <v>13</v>
      </c>
      <c r="J13" s="22" t="n">
        <f aca="false">H13*I13</f>
        <v>156</v>
      </c>
      <c r="K13" s="22" t="n">
        <f aca="false">2*(H13+I13)</f>
        <v>50</v>
      </c>
      <c r="L13" s="6" t="s">
        <v>4506</v>
      </c>
      <c r="M13" s="6" t="s">
        <v>3760</v>
      </c>
    </row>
    <row r="14" customFormat="false" ht="15" hidden="false" customHeight="false" outlineLevel="0" collapsed="false">
      <c r="A14" s="6" t="s">
        <v>4513</v>
      </c>
      <c r="B14" s="6" t="s">
        <v>4510</v>
      </c>
      <c r="C14" s="6" t="s">
        <v>4241</v>
      </c>
      <c r="D14" s="12" t="n">
        <v>5</v>
      </c>
      <c r="E14" s="12" t="n">
        <v>0</v>
      </c>
      <c r="F14" s="12" t="n">
        <v>9</v>
      </c>
      <c r="G14" s="12" t="n">
        <v>0</v>
      </c>
      <c r="H14" s="14" t="n">
        <f aca="false">D14+E14/12</f>
        <v>5</v>
      </c>
      <c r="I14" s="14" t="n">
        <f aca="false">F14+G14/12</f>
        <v>9</v>
      </c>
      <c r="J14" s="22" t="n">
        <f aca="false">H14*I14</f>
        <v>45</v>
      </c>
      <c r="K14" s="22" t="n">
        <f aca="false">2*(H14+I14)</f>
        <v>28</v>
      </c>
      <c r="L14" s="6" t="s">
        <v>4506</v>
      </c>
      <c r="M14" s="6" t="s">
        <v>3760</v>
      </c>
    </row>
    <row r="15" customFormat="false" ht="15" hidden="false" customHeight="false" outlineLevel="0" collapsed="false">
      <c r="A15" s="6" t="s">
        <v>4513</v>
      </c>
      <c r="B15" s="6" t="s">
        <v>4508</v>
      </c>
      <c r="C15" s="6" t="s">
        <v>4217</v>
      </c>
      <c r="D15" s="12" t="n">
        <v>11</v>
      </c>
      <c r="E15" s="12" t="n">
        <v>9</v>
      </c>
      <c r="F15" s="12" t="n">
        <v>14</v>
      </c>
      <c r="G15" s="12" t="n">
        <v>6</v>
      </c>
      <c r="H15" s="14" t="n">
        <f aca="false">D15+E15/12</f>
        <v>11.75</v>
      </c>
      <c r="I15" s="14" t="n">
        <f aca="false">F15+G15/12</f>
        <v>14.5</v>
      </c>
      <c r="J15" s="22" t="n">
        <f aca="false">H15*I15</f>
        <v>170.375</v>
      </c>
      <c r="K15" s="22" t="n">
        <f aca="false">2*(H15+I15)</f>
        <v>52.5</v>
      </c>
      <c r="L15" s="6" t="s">
        <v>4506</v>
      </c>
      <c r="M15" s="6" t="s">
        <v>3760</v>
      </c>
    </row>
    <row r="16" customFormat="false" ht="15" hidden="false" customHeight="false" outlineLevel="0" collapsed="false">
      <c r="A16" s="6" t="s">
        <v>4513</v>
      </c>
      <c r="B16" s="6" t="s">
        <v>4511</v>
      </c>
      <c r="C16" s="6" t="s">
        <v>4241</v>
      </c>
      <c r="D16" s="12" t="n">
        <v>7</v>
      </c>
      <c r="E16" s="12" t="n">
        <v>0</v>
      </c>
      <c r="F16" s="12" t="n">
        <v>7</v>
      </c>
      <c r="G16" s="12" t="n">
        <v>3</v>
      </c>
      <c r="H16" s="14" t="n">
        <f aca="false">D16+E16/12</f>
        <v>7</v>
      </c>
      <c r="I16" s="14" t="n">
        <f aca="false">F16+G16/12</f>
        <v>7.25</v>
      </c>
      <c r="J16" s="22" t="n">
        <f aca="false">H16*I16</f>
        <v>50.75</v>
      </c>
      <c r="K16" s="22" t="n">
        <f aca="false">2*(H16+I16)</f>
        <v>28.5</v>
      </c>
      <c r="L16" s="6" t="s">
        <v>4506</v>
      </c>
      <c r="M16" s="6" t="s">
        <v>3760</v>
      </c>
    </row>
    <row r="17" customFormat="false" ht="15" hidden="false" customHeight="false" outlineLevel="0" collapsed="false">
      <c r="A17" s="6" t="s">
        <v>4513</v>
      </c>
      <c r="B17" s="6" t="s">
        <v>4236</v>
      </c>
      <c r="C17" s="6" t="s">
        <v>1226</v>
      </c>
      <c r="D17" s="12" t="n">
        <v>12</v>
      </c>
      <c r="E17" s="12" t="n">
        <v>0</v>
      </c>
      <c r="F17" s="12" t="n">
        <v>9</v>
      </c>
      <c r="G17" s="12" t="n">
        <v>6</v>
      </c>
      <c r="H17" s="14" t="n">
        <f aca="false">D17+E17/12</f>
        <v>12</v>
      </c>
      <c r="I17" s="14" t="n">
        <f aca="false">F17+G17/12</f>
        <v>9.5</v>
      </c>
      <c r="J17" s="22" t="n">
        <f aca="false">H17*I17</f>
        <v>114</v>
      </c>
      <c r="K17" s="22" t="n">
        <f aca="false">2*(H17+I17)</f>
        <v>43</v>
      </c>
      <c r="L17" s="6" t="s">
        <v>4506</v>
      </c>
      <c r="M17" s="6" t="s">
        <v>3760</v>
      </c>
    </row>
    <row r="18" customFormat="false" ht="15" hidden="false" customHeight="false" outlineLevel="0" collapsed="false">
      <c r="A18" s="6" t="s">
        <v>4513</v>
      </c>
      <c r="B18" s="6" t="s">
        <v>4517</v>
      </c>
      <c r="C18" s="6" t="s">
        <v>4252</v>
      </c>
      <c r="D18" s="12" t="n">
        <v>12</v>
      </c>
      <c r="E18" s="12" t="n">
        <v>9</v>
      </c>
      <c r="F18" s="12" t="n">
        <v>9</v>
      </c>
      <c r="G18" s="12" t="n">
        <v>0</v>
      </c>
      <c r="H18" s="14" t="n">
        <f aca="false">D18+E18/12</f>
        <v>12.75</v>
      </c>
      <c r="I18" s="14" t="n">
        <f aca="false">F18+G18/12</f>
        <v>9</v>
      </c>
      <c r="J18" s="22" t="n">
        <f aca="false">H18*I18</f>
        <v>114.75</v>
      </c>
      <c r="K18" s="22" t="n">
        <f aca="false">2*(H18+I18)</f>
        <v>43.5</v>
      </c>
      <c r="L18" s="6" t="s">
        <v>4506</v>
      </c>
      <c r="M18" s="6" t="s">
        <v>3760</v>
      </c>
    </row>
    <row r="19" customFormat="false" ht="15" hidden="false" customHeight="false" outlineLevel="0" collapsed="false">
      <c r="A19" s="20" t="s">
        <v>4286</v>
      </c>
      <c r="J19" s="23" t="n">
        <f aca="false">SUM(J2:J18)</f>
        <v>1989.79166666667</v>
      </c>
      <c r="K19" s="23" t="n">
        <f aca="false">SUM(K2:K18)</f>
        <v>724.333333333333</v>
      </c>
    </row>
    <row r="20" customFormat="false" ht="53.7" hidden="false" customHeight="false" outlineLevel="0" collapsed="false">
      <c r="A20" s="6" t="s">
        <v>4518</v>
      </c>
      <c r="J20" s="24" t="n">
        <f aca="false">SUMIF(C2:C18,"Bathroom",J2:J18)+SUMIF(C2:C18,"Kitchen",J2:J18)+SUMIF(C2:C18,"Laundry",J2:J18)</f>
        <v>405.416666666667</v>
      </c>
    </row>
    <row r="23" customFormat="false" ht="43.25" hidden="false" customHeight="false" outlineLevel="0" collapsed="false">
      <c r="A23" s="25" t="s">
        <v>4519</v>
      </c>
      <c r="B23" s="25" t="s">
        <v>4520</v>
      </c>
      <c r="C23" s="25" t="s">
        <v>4521</v>
      </c>
      <c r="D23" s="25" t="s">
        <v>4522</v>
      </c>
      <c r="E23" s="25" t="s">
        <v>4523</v>
      </c>
      <c r="F23" s="25" t="s">
        <v>4524</v>
      </c>
      <c r="G23" s="25" t="s">
        <v>4525</v>
      </c>
      <c r="H23" s="25" t="s">
        <v>4526</v>
      </c>
      <c r="I23" s="25" t="s">
        <v>4527</v>
      </c>
      <c r="J23" s="25" t="s">
        <v>4528</v>
      </c>
      <c r="K23" s="25" t="s">
        <v>4529</v>
      </c>
      <c r="L23" s="25" t="s">
        <v>1406</v>
      </c>
    </row>
    <row r="24" customFormat="false" ht="22.35" hidden="false" customHeight="false" outlineLevel="0" collapsed="false">
      <c r="A24" s="6" t="s">
        <v>4530</v>
      </c>
      <c r="B24" s="12" t="n">
        <v>3</v>
      </c>
      <c r="C24" s="12" t="n">
        <v>6</v>
      </c>
      <c r="D24" s="12" t="n">
        <v>7</v>
      </c>
      <c r="E24" s="12" t="n">
        <v>5</v>
      </c>
      <c r="F24" s="6" t="s">
        <v>4531</v>
      </c>
      <c r="G24" s="12" t="n">
        <v>6</v>
      </c>
      <c r="H24" s="22" t="n">
        <f aca="false">(B24+C24/12)*D24</f>
        <v>24.5</v>
      </c>
      <c r="I24" s="22" t="n">
        <f aca="false">H24*G24</f>
        <v>147</v>
      </c>
      <c r="J24" s="22" t="n">
        <f aca="false">2*D24+(B24+C24/12)</f>
        <v>17.5</v>
      </c>
      <c r="K24" s="22" t="n">
        <f aca="false">J24*G24</f>
        <v>105</v>
      </c>
      <c r="L24" s="6" t="s">
        <v>4532</v>
      </c>
    </row>
    <row r="25" customFormat="false" ht="22.35" hidden="false" customHeight="false" outlineLevel="0" collapsed="false">
      <c r="A25" s="6" t="s">
        <v>4533</v>
      </c>
      <c r="B25" s="12" t="n">
        <v>2</v>
      </c>
      <c r="C25" s="12" t="n">
        <v>6</v>
      </c>
      <c r="D25" s="12" t="n">
        <v>7</v>
      </c>
      <c r="E25" s="12" t="n">
        <v>5</v>
      </c>
      <c r="F25" s="6" t="s">
        <v>4531</v>
      </c>
      <c r="G25" s="12" t="n">
        <v>4</v>
      </c>
      <c r="H25" s="22" t="n">
        <f aca="false">(B25+C25/12)*D25</f>
        <v>17.5</v>
      </c>
      <c r="I25" s="22" t="n">
        <f aca="false">H25*G25</f>
        <v>70</v>
      </c>
      <c r="J25" s="22" t="n">
        <f aca="false">2*D25+(B25+C25/12)</f>
        <v>16.5</v>
      </c>
      <c r="K25" s="22" t="n">
        <f aca="false">J25*G25</f>
        <v>66</v>
      </c>
      <c r="L25" s="6" t="s">
        <v>4532</v>
      </c>
    </row>
    <row r="26" customFormat="false" ht="22.35" hidden="false" customHeight="false" outlineLevel="0" collapsed="false">
      <c r="A26" s="6" t="s">
        <v>4534</v>
      </c>
      <c r="B26" s="12" t="n">
        <v>3</v>
      </c>
      <c r="C26" s="12" t="n">
        <v>0</v>
      </c>
      <c r="D26" s="12" t="n">
        <v>7</v>
      </c>
      <c r="E26" s="12" t="n">
        <v>10</v>
      </c>
      <c r="F26" s="6" t="s">
        <v>4535</v>
      </c>
      <c r="G26" s="12" t="n">
        <v>3</v>
      </c>
      <c r="H26" s="22" t="n">
        <f aca="false">(B26+C26/12)*D26</f>
        <v>21</v>
      </c>
      <c r="I26" s="22" t="n">
        <f aca="false">H26*G26</f>
        <v>63</v>
      </c>
      <c r="J26" s="22" t="n">
        <f aca="false">2*D26+(B26+C26/12)</f>
        <v>17</v>
      </c>
      <c r="K26" s="22" t="n">
        <f aca="false">J26*G26</f>
        <v>51</v>
      </c>
      <c r="L26" s="6" t="s">
        <v>4532</v>
      </c>
    </row>
    <row r="27" customFormat="false" ht="22.35" hidden="false" customHeight="false" outlineLevel="0" collapsed="false">
      <c r="A27" s="6" t="s">
        <v>4536</v>
      </c>
      <c r="B27" s="12" t="n">
        <v>4</v>
      </c>
      <c r="C27" s="12" t="n">
        <v>6</v>
      </c>
      <c r="D27" s="12" t="n">
        <v>8</v>
      </c>
      <c r="E27" s="12" t="n">
        <v>10</v>
      </c>
      <c r="F27" s="6" t="s">
        <v>4535</v>
      </c>
      <c r="G27" s="12" t="n">
        <v>1</v>
      </c>
      <c r="H27" s="22" t="n">
        <f aca="false">(B27+C27/12)*D27</f>
        <v>36</v>
      </c>
      <c r="I27" s="22" t="n">
        <f aca="false">H27*G27</f>
        <v>36</v>
      </c>
      <c r="J27" s="22" t="n">
        <f aca="false">2*D27+(B27+C27/12)</f>
        <v>20.5</v>
      </c>
      <c r="K27" s="22" t="n">
        <f aca="false">J27*G27</f>
        <v>20.5</v>
      </c>
      <c r="L27" s="6" t="s">
        <v>4532</v>
      </c>
    </row>
    <row r="28" customFormat="false" ht="22.35" hidden="false" customHeight="false" outlineLevel="0" collapsed="false">
      <c r="A28" s="6" t="s">
        <v>4537</v>
      </c>
      <c r="B28" s="12" t="n">
        <v>3</v>
      </c>
      <c r="C28" s="12" t="n">
        <v>6</v>
      </c>
      <c r="D28" s="12" t="n">
        <v>8</v>
      </c>
      <c r="E28" s="12" t="n">
        <v>10</v>
      </c>
      <c r="F28" s="6" t="s">
        <v>4531</v>
      </c>
      <c r="G28" s="12" t="n">
        <v>1</v>
      </c>
      <c r="H28" s="22" t="n">
        <f aca="false">(B28+C28/12)*D28</f>
        <v>28</v>
      </c>
      <c r="I28" s="22" t="n">
        <f aca="false">H28*G28</f>
        <v>28</v>
      </c>
      <c r="J28" s="22" t="n">
        <f aca="false">2*D28+(B28+C28/12)</f>
        <v>19.5</v>
      </c>
      <c r="K28" s="22" t="n">
        <f aca="false">J28*G28</f>
        <v>19.5</v>
      </c>
      <c r="L28" s="6" t="s">
        <v>4532</v>
      </c>
    </row>
    <row r="29" customFormat="false" ht="15" hidden="false" customHeight="false" outlineLevel="0" collapsed="false">
      <c r="A29" s="20" t="s">
        <v>4286</v>
      </c>
      <c r="G29" s="20" t="n">
        <f aca="false">SUM(G24:G28)</f>
        <v>15</v>
      </c>
      <c r="I29" s="26" t="n">
        <f aca="false">SUM(I24:I28)</f>
        <v>344</v>
      </c>
      <c r="K29" s="26" t="n">
        <f aca="false">SUM(K24:K28)</f>
        <v>262</v>
      </c>
    </row>
    <row r="32" customFormat="false" ht="22.35" hidden="false" customHeight="false" outlineLevel="0" collapsed="false">
      <c r="A32" s="25" t="s">
        <v>4538</v>
      </c>
      <c r="B32" s="25" t="s">
        <v>4539</v>
      </c>
      <c r="C32" s="25" t="s">
        <v>4540</v>
      </c>
      <c r="D32" s="25" t="s">
        <v>4541</v>
      </c>
      <c r="E32" s="25" t="s">
        <v>4542</v>
      </c>
      <c r="F32" s="25" t="s">
        <v>3371</v>
      </c>
      <c r="G32" s="25" t="s">
        <v>4543</v>
      </c>
      <c r="H32" s="25" t="s">
        <v>4544</v>
      </c>
      <c r="I32" s="25" t="s">
        <v>4545</v>
      </c>
      <c r="J32" s="25" t="s">
        <v>4525</v>
      </c>
      <c r="K32" s="25" t="s">
        <v>1406</v>
      </c>
    </row>
    <row r="33" customFormat="false" ht="43.25" hidden="false" customHeight="false" outlineLevel="0" collapsed="false">
      <c r="A33" s="6" t="s">
        <v>4546</v>
      </c>
      <c r="B33" s="12" t="n">
        <v>9</v>
      </c>
      <c r="C33" s="12" t="n">
        <v>18</v>
      </c>
      <c r="D33" s="12" t="n">
        <v>4</v>
      </c>
      <c r="E33" s="12" t="n">
        <v>4</v>
      </c>
      <c r="F33" s="6" t="s">
        <v>4547</v>
      </c>
      <c r="G33" s="6" t="s">
        <v>4548</v>
      </c>
      <c r="H33" s="14" t="n">
        <f aca="false">B33*C33/144</f>
        <v>1.125</v>
      </c>
      <c r="I33" s="22" t="n">
        <f aca="false">D33*E33</f>
        <v>16</v>
      </c>
      <c r="J33" s="27"/>
      <c r="K33" s="6" t="s">
        <v>4549</v>
      </c>
    </row>
    <row r="34" customFormat="false" ht="43.25" hidden="false" customHeight="false" outlineLevel="0" collapsed="false">
      <c r="A34" s="6" t="s">
        <v>4550</v>
      </c>
      <c r="B34" s="12" t="n">
        <v>15</v>
      </c>
      <c r="C34" s="12" t="n">
        <v>15</v>
      </c>
      <c r="D34" s="12" t="n">
        <v>3</v>
      </c>
      <c r="E34" s="12" t="n">
        <v>3</v>
      </c>
      <c r="F34" s="6" t="s">
        <v>4547</v>
      </c>
      <c r="G34" s="6" t="s">
        <v>4548</v>
      </c>
      <c r="H34" s="14" t="n">
        <f aca="false">B34*C34/144</f>
        <v>1.5625</v>
      </c>
      <c r="I34" s="22" t="n">
        <f aca="false">D34*E34</f>
        <v>9</v>
      </c>
      <c r="J34" s="27"/>
      <c r="K34" s="6" t="s">
        <v>4549</v>
      </c>
    </row>
    <row r="35" customFormat="false" ht="43.25" hidden="false" customHeight="false" outlineLevel="0" collapsed="false">
      <c r="A35" s="6" t="s">
        <v>4551</v>
      </c>
      <c r="B35" s="12" t="n">
        <v>15</v>
      </c>
      <c r="C35" s="12" t="n">
        <v>15</v>
      </c>
      <c r="D35" s="12" t="n">
        <v>3</v>
      </c>
      <c r="E35" s="12" t="n">
        <v>3</v>
      </c>
      <c r="F35" s="6" t="s">
        <v>4547</v>
      </c>
      <c r="G35" s="6" t="s">
        <v>4548</v>
      </c>
      <c r="H35" s="14" t="n">
        <f aca="false">B35*C35/144</f>
        <v>1.5625</v>
      </c>
      <c r="I35" s="22" t="n">
        <f aca="false">D35*E35</f>
        <v>9</v>
      </c>
      <c r="J35" s="27"/>
      <c r="K35" s="6" t="s">
        <v>4549</v>
      </c>
    </row>
    <row r="38" customFormat="false" ht="32.8" hidden="false" customHeight="false" outlineLevel="0" collapsed="false">
      <c r="A38" s="25" t="s">
        <v>1787</v>
      </c>
      <c r="B38" s="25" t="s">
        <v>4552</v>
      </c>
      <c r="C38" s="25" t="s">
        <v>4553</v>
      </c>
      <c r="D38" s="25" t="s">
        <v>4554</v>
      </c>
      <c r="E38" s="25" t="s">
        <v>4555</v>
      </c>
      <c r="F38" s="25" t="s">
        <v>4556</v>
      </c>
      <c r="G38" s="25" t="s">
        <v>4557</v>
      </c>
      <c r="H38" s="25" t="s">
        <v>4558</v>
      </c>
      <c r="I38" s="25" t="s">
        <v>4559</v>
      </c>
      <c r="J38" s="25" t="s">
        <v>4560</v>
      </c>
    </row>
    <row r="39" customFormat="false" ht="43.25" hidden="false" customHeight="false" outlineLevel="0" collapsed="false">
      <c r="A39" s="6" t="s">
        <v>4128</v>
      </c>
      <c r="B39" s="12" t="n">
        <v>6.5</v>
      </c>
      <c r="C39" s="12" t="n">
        <v>5</v>
      </c>
      <c r="D39" s="12" t="n">
        <v>4</v>
      </c>
      <c r="E39" s="12" t="n">
        <v>6</v>
      </c>
      <c r="F39" s="12" t="n">
        <v>6</v>
      </c>
      <c r="G39" s="12" t="n">
        <v>4</v>
      </c>
      <c r="H39" s="24" t="n">
        <f aca="false">B39*C39*D39*6.229</f>
        <v>809.77</v>
      </c>
      <c r="I39" s="22" t="n">
        <f aca="false">2*(B39+C39+2*E39/12)*D39*E39/12+(B39+2*E39/12)*(C39+2*E39/12)*(F39+G39)/12</f>
        <v>87.5</v>
      </c>
      <c r="J39" s="6" t="s">
        <v>4561</v>
      </c>
    </row>
    <row r="40" customFormat="false" ht="32.8" hidden="false" customHeight="false" outlineLevel="0" collapsed="false">
      <c r="A40" s="6" t="s">
        <v>4562</v>
      </c>
      <c r="B40" s="12" t="n">
        <v>8.25</v>
      </c>
      <c r="C40" s="12" t="n">
        <v>5.5</v>
      </c>
      <c r="D40" s="12" t="n">
        <v>5</v>
      </c>
      <c r="E40" s="12" t="n">
        <v>4.5</v>
      </c>
      <c r="F40" s="12" t="n">
        <v>4.5</v>
      </c>
      <c r="G40" s="12" t="n">
        <v>4</v>
      </c>
      <c r="H40" s="24" t="n">
        <f aca="false">B40*C40*D40*6.229</f>
        <v>1413.204375</v>
      </c>
      <c r="I40" s="22" t="n">
        <f aca="false">2*(B40+C40+2*E40/12)*D40*E40/12+(B40+2*E40/12)*(C40+2*E40/12)*(F40+G40)/12</f>
        <v>94.21875</v>
      </c>
      <c r="J40" s="6" t="s">
        <v>4563</v>
      </c>
    </row>
    <row r="42" customFormat="false" ht="22.35" hidden="false" customHeight="false" outlineLevel="0" collapsed="false">
      <c r="A42" s="6" t="s">
        <v>4564</v>
      </c>
      <c r="B42" s="24" t="n">
        <f aca="false">33*41</f>
        <v>1353</v>
      </c>
      <c r="C42" s="6" t="s">
        <v>4565</v>
      </c>
      <c r="D42" s="14" t="n">
        <f aca="false">B42/272.25</f>
        <v>4.96969696969697</v>
      </c>
    </row>
    <row r="43" customFormat="false" ht="241.75" hidden="false" customHeight="false" outlineLevel="0" collapsed="false">
      <c r="A43" s="6" t="s">
        <v>4566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60"/>
  </cols>
  <sheetData>
    <row r="1" customFormat="false" ht="31.5" hidden="false" customHeight="true" outlineLevel="0" collapsed="false">
      <c r="A1" s="4" t="s">
        <v>4567</v>
      </c>
      <c r="B1" s="4" t="s">
        <v>3150</v>
      </c>
      <c r="C1" s="4" t="s">
        <v>3151</v>
      </c>
      <c r="D1" s="4" t="s">
        <v>55</v>
      </c>
      <c r="E1" s="4" t="s">
        <v>4568</v>
      </c>
    </row>
    <row r="2" customFormat="false" ht="15" hidden="false" customHeight="false" outlineLevel="0" collapsed="false">
      <c r="A2" s="25" t="s">
        <v>4569</v>
      </c>
      <c r="B2" s="25" t="s">
        <v>4570</v>
      </c>
    </row>
    <row r="3" customFormat="false" ht="15" hidden="false" customHeight="false" outlineLevel="0" collapsed="false">
      <c r="A3" s="6" t="s">
        <v>4571</v>
      </c>
      <c r="B3" s="6" t="s">
        <v>4572</v>
      </c>
      <c r="C3" s="28" t="n">
        <v>32.25</v>
      </c>
      <c r="D3" s="6" t="s">
        <v>3224</v>
      </c>
      <c r="E3" s="6" t="s">
        <v>4573</v>
      </c>
    </row>
    <row r="4" customFormat="false" ht="15" hidden="false" customHeight="false" outlineLevel="0" collapsed="false">
      <c r="A4" s="6" t="s">
        <v>4574</v>
      </c>
      <c r="B4" s="6" t="s">
        <v>4575</v>
      </c>
      <c r="C4" s="28" t="n">
        <v>39</v>
      </c>
      <c r="D4" s="6" t="s">
        <v>3224</v>
      </c>
      <c r="E4" s="6" t="s">
        <v>4576</v>
      </c>
    </row>
    <row r="5" customFormat="false" ht="15" hidden="false" customHeight="false" outlineLevel="0" collapsed="false">
      <c r="A5" s="6" t="s">
        <v>4577</v>
      </c>
      <c r="B5" s="6" t="s">
        <v>4578</v>
      </c>
      <c r="C5" s="29" t="n">
        <f aca="false">2*(C3+C4)-4*Coefficients!$D$20</f>
        <v>139.5</v>
      </c>
      <c r="D5" s="6" t="s">
        <v>77</v>
      </c>
      <c r="E5" s="6" t="s">
        <v>4579</v>
      </c>
    </row>
    <row r="6" customFormat="false" ht="15" hidden="false" customHeight="false" outlineLevel="0" collapsed="false">
      <c r="A6" s="6" t="s">
        <v>4580</v>
      </c>
      <c r="B6" s="6" t="s">
        <v>4581</v>
      </c>
      <c r="C6" s="29" t="n">
        <f aca="false">11.5-6/12</f>
        <v>11</v>
      </c>
      <c r="D6" s="6" t="s">
        <v>3224</v>
      </c>
      <c r="E6" s="6" t="s">
        <v>4582</v>
      </c>
    </row>
    <row r="7" customFormat="false" ht="15" hidden="false" customHeight="false" outlineLevel="0" collapsed="false">
      <c r="A7" s="6" t="s">
        <v>4583</v>
      </c>
      <c r="B7" s="6" t="s">
        <v>4584</v>
      </c>
      <c r="C7" s="28" t="n">
        <v>120</v>
      </c>
      <c r="D7" s="6" t="s">
        <v>182</v>
      </c>
      <c r="E7" s="6" t="s">
        <v>4585</v>
      </c>
    </row>
    <row r="8" customFormat="false" ht="15" hidden="false" customHeight="false" outlineLevel="0" collapsed="false">
      <c r="A8" s="6" t="s">
        <v>4586</v>
      </c>
      <c r="B8" s="6" t="s">
        <v>4587</v>
      </c>
      <c r="C8" s="29" t="n">
        <f aca="false">(C5*C6-C7)*Coefficients!$D$20</f>
        <v>1060.875</v>
      </c>
      <c r="D8" s="6" t="s">
        <v>143</v>
      </c>
      <c r="E8" s="6" t="s">
        <v>4588</v>
      </c>
    </row>
    <row r="9" customFormat="false" ht="15" hidden="false" customHeight="false" outlineLevel="0" collapsed="false">
      <c r="A9" s="6" t="s">
        <v>4589</v>
      </c>
      <c r="B9" s="6" t="s">
        <v>4590</v>
      </c>
      <c r="C9" s="29" t="n">
        <f aca="false">C8*Coefficients!$D$17*(1+INDEX(Wastage_Factors!$B$2:$B$60,MATCH("W_BRICK",Wastage_Factors!$A$2:$A$60,0)))</f>
        <v>14594.9503028508</v>
      </c>
      <c r="D9" s="6" t="s">
        <v>115</v>
      </c>
      <c r="E9" s="6" t="s">
        <v>4591</v>
      </c>
    </row>
    <row r="10" customFormat="false" ht="15" hidden="false" customHeight="false" outlineLevel="0" collapsed="false">
      <c r="A10" s="6" t="s">
        <v>4592</v>
      </c>
      <c r="B10" s="6" t="s">
        <v>4593</v>
      </c>
      <c r="C10" s="29" t="n">
        <f aca="false">C8*Coefficients!$D$19*Mix_Design!$J$10*(1+INDEX(Wastage_Factors!$B$2:$B$60,MATCH("W_CEM",Wastage_Factors!$A$2:$A$60,0)))</f>
        <v>37.6558778222296</v>
      </c>
      <c r="D10" s="6" t="s">
        <v>4594</v>
      </c>
      <c r="E10" s="6" t="s">
        <v>4595</v>
      </c>
    </row>
    <row r="11" customFormat="false" ht="15" hidden="false" customHeight="false" outlineLevel="0" collapsed="false">
      <c r="A11" s="6" t="s">
        <v>4596</v>
      </c>
      <c r="B11" s="6" t="s">
        <v>4597</v>
      </c>
      <c r="C11" s="29" t="n">
        <f aca="false">C8*Coefficients!$D$19*Mix_Design!$K$10*(1+INDEX(Wastage_Factors!$B$2:$B$60,MATCH("W_SAND",Wastage_Factors!$A$2:$A$60,0)))</f>
        <v>298.77177928545</v>
      </c>
      <c r="D11" s="6" t="s">
        <v>143</v>
      </c>
      <c r="E11" s="6"/>
    </row>
    <row r="12" customFormat="false" ht="15" hidden="false" customHeight="false" outlineLevel="0" collapsed="false">
      <c r="A12" s="25" t="s">
        <v>4598</v>
      </c>
      <c r="B12" s="25" t="s">
        <v>4599</v>
      </c>
    </row>
    <row r="13" customFormat="false" ht="15" hidden="false" customHeight="false" outlineLevel="0" collapsed="false">
      <c r="A13" s="6" t="s">
        <v>4600</v>
      </c>
      <c r="B13" s="6" t="s">
        <v>4601</v>
      </c>
      <c r="C13" s="29" t="n">
        <f aca="false">C3*C4</f>
        <v>1257.75</v>
      </c>
      <c r="D13" s="6" t="s">
        <v>182</v>
      </c>
      <c r="E13" s="6" t="s">
        <v>4602</v>
      </c>
    </row>
    <row r="14" customFormat="false" ht="15" hidden="false" customHeight="false" outlineLevel="0" collapsed="false">
      <c r="A14" s="6" t="s">
        <v>4603</v>
      </c>
      <c r="B14" s="6" t="s">
        <v>4604</v>
      </c>
      <c r="C14" s="29" t="n">
        <f aca="false">C13*6/12</f>
        <v>628.875</v>
      </c>
      <c r="D14" s="6" t="s">
        <v>143</v>
      </c>
      <c r="E14" s="6" t="s">
        <v>4605</v>
      </c>
    </row>
    <row r="15" customFormat="false" ht="15" hidden="false" customHeight="false" outlineLevel="0" collapsed="false">
      <c r="A15" s="6" t="s">
        <v>4606</v>
      </c>
      <c r="B15" s="6" t="s">
        <v>4380</v>
      </c>
      <c r="C15" s="29" t="n">
        <f aca="false">C14*Mix_Design!$J$4*(1+INDEX(Wastage_Factors!$B$2:$B$60,MATCH("W_CEM",Wastage_Factors!$A$2:$A$60,0)))</f>
        <v>115.086438225442</v>
      </c>
      <c r="D15" s="6" t="s">
        <v>4594</v>
      </c>
      <c r="E15" s="6" t="s">
        <v>4607</v>
      </c>
    </row>
    <row r="16" customFormat="false" ht="15" hidden="false" customHeight="false" outlineLevel="0" collapsed="false">
      <c r="A16" s="6" t="s">
        <v>4608</v>
      </c>
      <c r="B16" s="6" t="s">
        <v>3688</v>
      </c>
      <c r="C16" s="29" t="n">
        <f aca="false">C14*Mix_Design!$K$4*(1+INDEX(Wastage_Factors!$B$2:$B$60,MATCH("W_SAND",Wastage_Factors!$A$2:$A$60,0)))</f>
        <v>304.3755</v>
      </c>
      <c r="D16" s="6" t="s">
        <v>143</v>
      </c>
      <c r="E16" s="6"/>
    </row>
    <row r="17" customFormat="false" ht="15" hidden="false" customHeight="false" outlineLevel="0" collapsed="false">
      <c r="A17" s="6" t="s">
        <v>4609</v>
      </c>
      <c r="B17" s="6" t="s">
        <v>4610</v>
      </c>
      <c r="C17" s="29" t="n">
        <f aca="false">C14*Mix_Design!$L$4*(1+INDEX(Wastage_Factors!$B$2:$B$60,MATCH("W_AGG",Wastage_Factors!$A$2:$A$60,0)))</f>
        <v>594.91575</v>
      </c>
      <c r="D17" s="6" t="s">
        <v>143</v>
      </c>
      <c r="E17" s="6"/>
    </row>
    <row r="18" customFormat="false" ht="15" hidden="false" customHeight="false" outlineLevel="0" collapsed="false">
      <c r="A18" s="6" t="s">
        <v>4611</v>
      </c>
      <c r="B18" s="6" t="s">
        <v>4612</v>
      </c>
      <c r="C18" s="29" t="n">
        <f aca="false">C14*Coefficients!$D$81*(1+INDEX(Wastage_Factors!$B$2:$B$60,MATCH("W_STEEL",Wastage_Factors!$A$2:$A$60,0)))</f>
        <v>1559.06764746692</v>
      </c>
      <c r="D18" s="6" t="s">
        <v>238</v>
      </c>
      <c r="E18" s="6" t="s">
        <v>4613</v>
      </c>
    </row>
    <row r="19" customFormat="false" ht="15" hidden="false" customHeight="false" outlineLevel="0" collapsed="false">
      <c r="A19" s="25" t="s">
        <v>4614</v>
      </c>
      <c r="B19" s="25" t="s">
        <v>4615</v>
      </c>
    </row>
    <row r="20" customFormat="false" ht="15" hidden="false" customHeight="false" outlineLevel="0" collapsed="false">
      <c r="A20" s="6" t="s">
        <v>4546</v>
      </c>
      <c r="B20" s="6" t="s">
        <v>4616</v>
      </c>
      <c r="C20" s="29" t="n">
        <f aca="false">Sample_Project_Extract!$J$19</f>
        <v>1989.79166666667</v>
      </c>
      <c r="D20" s="6" t="s">
        <v>182</v>
      </c>
      <c r="E20" s="6" t="s">
        <v>4617</v>
      </c>
    </row>
    <row r="21" customFormat="false" ht="15" hidden="false" customHeight="false" outlineLevel="0" collapsed="false">
      <c r="A21" s="6" t="s">
        <v>4550</v>
      </c>
      <c r="B21" s="6" t="s">
        <v>4618</v>
      </c>
      <c r="C21" s="29" t="n">
        <f aca="false">C20*(1+INDEX(Wastage_Factors!$B$2:$B$60,MATCH("W_TILE_FLR",Wastage_Factors!$A$2:$A$60,0)))</f>
        <v>2129.07708333333</v>
      </c>
      <c r="D21" s="6" t="s">
        <v>182</v>
      </c>
      <c r="E21" s="6" t="s">
        <v>4619</v>
      </c>
    </row>
    <row r="22" customFormat="false" ht="15" hidden="false" customHeight="false" outlineLevel="0" collapsed="false">
      <c r="A22" s="6" t="s">
        <v>4551</v>
      </c>
      <c r="B22" s="6" t="s">
        <v>4620</v>
      </c>
      <c r="C22" s="29" t="n">
        <f aca="false">Sample_Project_Extract!$J$20</f>
        <v>405.416666666667</v>
      </c>
      <c r="D22" s="6" t="s">
        <v>182</v>
      </c>
      <c r="E22" s="6" t="s">
        <v>4621</v>
      </c>
    </row>
    <row r="23" customFormat="false" ht="15" hidden="false" customHeight="false" outlineLevel="0" collapsed="false">
      <c r="A23" s="25" t="s">
        <v>4622</v>
      </c>
      <c r="B23" s="25" t="s">
        <v>4623</v>
      </c>
    </row>
    <row r="24" customFormat="false" ht="15" hidden="false" customHeight="false" outlineLevel="0" collapsed="false">
      <c r="A24" s="6" t="s">
        <v>4624</v>
      </c>
      <c r="B24" s="6" t="s">
        <v>4625</v>
      </c>
      <c r="C24" s="29" t="n">
        <f aca="false">Coefficients!$D$17</f>
        <v>13.1023472787856</v>
      </c>
      <c r="D24" s="6" t="s">
        <v>2934</v>
      </c>
      <c r="E24" s="6" t="s">
        <v>4626</v>
      </c>
    </row>
    <row r="25" customFormat="false" ht="15" hidden="false" customHeight="false" outlineLevel="0" collapsed="false">
      <c r="A25" s="6" t="s">
        <v>4627</v>
      </c>
      <c r="B25" s="6" t="s">
        <v>4628</v>
      </c>
      <c r="C25" s="29" t="n">
        <f aca="false">Mix_Design!$J$4</f>
        <v>0.179415370936182</v>
      </c>
      <c r="D25" s="6" t="s">
        <v>4629</v>
      </c>
      <c r="E25" s="6" t="s">
        <v>4630</v>
      </c>
    </row>
    <row r="26" customFormat="false" ht="15" hidden="false" customHeight="false" outlineLevel="0" collapsed="false">
      <c r="A26" s="6" t="s">
        <v>4631</v>
      </c>
      <c r="B26" s="6" t="s">
        <v>4632</v>
      </c>
      <c r="C26" s="29" t="n">
        <f aca="false">Mix_Design!$J$2</f>
        <v>0.0966082766579444</v>
      </c>
      <c r="D26" s="6" t="s">
        <v>4629</v>
      </c>
      <c r="E26" s="6" t="s">
        <v>4633</v>
      </c>
    </row>
    <row r="27" customFormat="false" ht="15" hidden="false" customHeight="false" outlineLevel="0" collapsed="false">
      <c r="A27" s="6" t="s">
        <v>4634</v>
      </c>
      <c r="B27" s="6" t="s">
        <v>4635</v>
      </c>
      <c r="C27" s="29" t="n">
        <f aca="false">Mix_Design!$M$4</f>
        <v>6.336</v>
      </c>
      <c r="D27" s="6" t="s">
        <v>4636</v>
      </c>
      <c r="E27" s="6" t="s">
        <v>4637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30"/>
    <col collapsed="false" customWidth="true" hidden="false" outlineLevel="0" max="5" min="5" style="0" width="40"/>
  </cols>
  <sheetData>
    <row r="1" customFormat="false" ht="31.5" hidden="false" customHeight="true" outlineLevel="0" collapsed="false">
      <c r="A1" s="4" t="s">
        <v>4638</v>
      </c>
      <c r="B1" s="4" t="s">
        <v>4639</v>
      </c>
      <c r="C1" s="4" t="s">
        <v>55</v>
      </c>
      <c r="D1" s="4" t="s">
        <v>2912</v>
      </c>
      <c r="E1" s="4" t="s">
        <v>4640</v>
      </c>
    </row>
    <row r="2" customFormat="false" ht="22.35" hidden="false" customHeight="false" outlineLevel="0" collapsed="false">
      <c r="A2" s="6" t="s">
        <v>4641</v>
      </c>
      <c r="B2" s="6" t="s">
        <v>4642</v>
      </c>
      <c r="C2" s="6" t="s">
        <v>4643</v>
      </c>
      <c r="D2" s="6" t="s">
        <v>4644</v>
      </c>
      <c r="E2" s="6" t="s">
        <v>4645</v>
      </c>
    </row>
    <row r="3" customFormat="false" ht="15" hidden="false" customHeight="false" outlineLevel="0" collapsed="false">
      <c r="A3" s="6" t="s">
        <v>4646</v>
      </c>
      <c r="B3" s="6" t="s">
        <v>4647</v>
      </c>
      <c r="C3" s="6" t="s">
        <v>2944</v>
      </c>
      <c r="D3" s="6" t="s">
        <v>4648</v>
      </c>
      <c r="E3" s="6" t="s">
        <v>4649</v>
      </c>
    </row>
    <row r="4" customFormat="false" ht="15" hidden="false" customHeight="false" outlineLevel="0" collapsed="false">
      <c r="A4" s="6" t="s">
        <v>4650</v>
      </c>
      <c r="B4" s="6" t="s">
        <v>4651</v>
      </c>
      <c r="C4" s="6" t="s">
        <v>2944</v>
      </c>
      <c r="D4" s="6" t="s">
        <v>4648</v>
      </c>
      <c r="E4" s="6" t="s">
        <v>4652</v>
      </c>
    </row>
    <row r="5" customFormat="false" ht="15" hidden="false" customHeight="false" outlineLevel="0" collapsed="false">
      <c r="A5" s="6" t="s">
        <v>4653</v>
      </c>
      <c r="B5" s="6" t="s">
        <v>4654</v>
      </c>
      <c r="C5" s="6" t="s">
        <v>2967</v>
      </c>
      <c r="D5" s="6" t="s">
        <v>4648</v>
      </c>
      <c r="E5" s="6" t="s">
        <v>4655</v>
      </c>
    </row>
    <row r="6" customFormat="false" ht="15" hidden="false" customHeight="false" outlineLevel="0" collapsed="false">
      <c r="A6" s="6" t="s">
        <v>4656</v>
      </c>
      <c r="B6" s="6" t="s">
        <v>4657</v>
      </c>
      <c r="C6" s="6" t="s">
        <v>2942</v>
      </c>
      <c r="D6" s="6" t="s">
        <v>4648</v>
      </c>
      <c r="E6" s="6"/>
    </row>
    <row r="7" customFormat="false" ht="15" hidden="false" customHeight="false" outlineLevel="0" collapsed="false">
      <c r="A7" s="6" t="s">
        <v>4658</v>
      </c>
      <c r="B7" s="6" t="s">
        <v>4659</v>
      </c>
      <c r="C7" s="6" t="s">
        <v>2942</v>
      </c>
      <c r="D7" s="6" t="s">
        <v>4648</v>
      </c>
      <c r="E7" s="6"/>
    </row>
    <row r="8" customFormat="false" ht="15" hidden="false" customHeight="false" outlineLevel="0" collapsed="false">
      <c r="A8" s="6" t="s">
        <v>4660</v>
      </c>
      <c r="B8" s="6" t="s">
        <v>4661</v>
      </c>
      <c r="C8" s="6" t="s">
        <v>115</v>
      </c>
      <c r="D8" s="6" t="s">
        <v>3237</v>
      </c>
      <c r="E8" s="6" t="s">
        <v>4662</v>
      </c>
    </row>
    <row r="9" customFormat="false" ht="15" hidden="false" customHeight="false" outlineLevel="0" collapsed="false">
      <c r="A9" s="6" t="s">
        <v>4663</v>
      </c>
      <c r="B9" s="6" t="s">
        <v>4664</v>
      </c>
      <c r="C9" s="6" t="s">
        <v>115</v>
      </c>
      <c r="D9" s="6" t="s">
        <v>4665</v>
      </c>
      <c r="E9" s="6"/>
    </row>
    <row r="10" customFormat="false" ht="15" hidden="false" customHeight="false" outlineLevel="0" collapsed="false">
      <c r="A10" s="6" t="s">
        <v>4666</v>
      </c>
      <c r="B10" s="6" t="s">
        <v>4667</v>
      </c>
      <c r="C10" s="6" t="s">
        <v>2925</v>
      </c>
      <c r="D10" s="6" t="s">
        <v>4668</v>
      </c>
      <c r="E10" s="6" t="s">
        <v>4669</v>
      </c>
    </row>
    <row r="11" customFormat="false" ht="15" hidden="false" customHeight="false" outlineLevel="0" collapsed="false">
      <c r="A11" s="6" t="s">
        <v>4670</v>
      </c>
      <c r="B11" s="6" t="s">
        <v>4671</v>
      </c>
      <c r="C11" s="6" t="s">
        <v>2925</v>
      </c>
      <c r="D11" s="6" t="s">
        <v>4668</v>
      </c>
      <c r="E11" s="6" t="s">
        <v>4672</v>
      </c>
    </row>
    <row r="12" customFormat="false" ht="22.35" hidden="false" customHeight="false" outlineLevel="0" collapsed="false">
      <c r="A12" s="6" t="s">
        <v>4673</v>
      </c>
      <c r="B12" s="6" t="s">
        <v>4674</v>
      </c>
      <c r="C12" s="6" t="s">
        <v>4675</v>
      </c>
      <c r="D12" s="6" t="s">
        <v>4676</v>
      </c>
      <c r="E12" s="6" t="s">
        <v>4677</v>
      </c>
    </row>
    <row r="14" customFormat="false" ht="32.8" hidden="false" customHeight="false" outlineLevel="0" collapsed="false">
      <c r="A14" s="6" t="s">
        <v>4678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60"/>
    <col collapsed="false" customWidth="true" hidden="false" outlineLevel="0" max="4" min="4" style="0" width="26"/>
    <col collapsed="false" customWidth="true" hidden="false" outlineLevel="0" max="5" min="5" style="0" width="40"/>
    <col collapsed="false" customWidth="true" hidden="false" outlineLevel="0" max="6" min="6" style="0" width="9"/>
  </cols>
  <sheetData>
    <row r="1" customFormat="false" ht="31.5" hidden="false" customHeight="true" outlineLevel="0" collapsed="false">
      <c r="A1" s="4" t="s">
        <v>4679</v>
      </c>
      <c r="B1" s="4" t="s">
        <v>4680</v>
      </c>
      <c r="C1" s="4" t="s">
        <v>4681</v>
      </c>
      <c r="D1" s="4" t="s">
        <v>4682</v>
      </c>
      <c r="E1" s="4" t="s">
        <v>4683</v>
      </c>
      <c r="F1" s="4" t="s">
        <v>4684</v>
      </c>
    </row>
    <row r="2" customFormat="false" ht="22.35" hidden="false" customHeight="false" outlineLevel="0" collapsed="false">
      <c r="A2" s="6" t="s">
        <v>4685</v>
      </c>
      <c r="B2" s="6" t="s">
        <v>4686</v>
      </c>
      <c r="C2" s="6" t="s">
        <v>4687</v>
      </c>
      <c r="D2" s="6" t="s">
        <v>4688</v>
      </c>
      <c r="E2" s="6" t="s">
        <v>4689</v>
      </c>
      <c r="F2" s="6" t="s">
        <v>3760</v>
      </c>
    </row>
    <row r="3" customFormat="false" ht="15" hidden="false" customHeight="false" outlineLevel="0" collapsed="false">
      <c r="A3" s="6" t="s">
        <v>4690</v>
      </c>
      <c r="B3" s="6" t="s">
        <v>4686</v>
      </c>
      <c r="C3" s="6" t="s">
        <v>4691</v>
      </c>
      <c r="D3" s="6" t="s">
        <v>4692</v>
      </c>
      <c r="E3" s="6" t="s">
        <v>4693</v>
      </c>
      <c r="F3" s="6" t="s">
        <v>3799</v>
      </c>
    </row>
    <row r="4" customFormat="false" ht="22.35" hidden="false" customHeight="false" outlineLevel="0" collapsed="false">
      <c r="A4" s="6" t="s">
        <v>4694</v>
      </c>
      <c r="B4" s="6" t="s">
        <v>4686</v>
      </c>
      <c r="C4" s="6" t="s">
        <v>4695</v>
      </c>
      <c r="D4" s="6" t="s">
        <v>4696</v>
      </c>
      <c r="E4" s="6" t="s">
        <v>4697</v>
      </c>
      <c r="F4" s="6" t="s">
        <v>3799</v>
      </c>
    </row>
    <row r="5" customFormat="false" ht="22.35" hidden="false" customHeight="false" outlineLevel="0" collapsed="false">
      <c r="A5" s="6" t="s">
        <v>4698</v>
      </c>
      <c r="B5" s="6" t="s">
        <v>4699</v>
      </c>
      <c r="C5" s="6" t="s">
        <v>4700</v>
      </c>
      <c r="D5" s="6" t="s">
        <v>4701</v>
      </c>
      <c r="E5" s="6" t="s">
        <v>4702</v>
      </c>
      <c r="F5" s="6" t="s">
        <v>3760</v>
      </c>
    </row>
    <row r="6" customFormat="false" ht="22.35" hidden="false" customHeight="false" outlineLevel="0" collapsed="false">
      <c r="A6" s="6" t="s">
        <v>4703</v>
      </c>
      <c r="B6" s="6" t="s">
        <v>426</v>
      </c>
      <c r="C6" s="6" t="s">
        <v>4704</v>
      </c>
      <c r="D6" s="6" t="s">
        <v>4705</v>
      </c>
      <c r="E6" s="6" t="s">
        <v>4706</v>
      </c>
      <c r="F6" s="6" t="s">
        <v>3760</v>
      </c>
    </row>
    <row r="7" customFormat="false" ht="22.35" hidden="false" customHeight="false" outlineLevel="0" collapsed="false">
      <c r="A7" s="6" t="s">
        <v>4707</v>
      </c>
      <c r="B7" s="6" t="s">
        <v>4708</v>
      </c>
      <c r="C7" s="6" t="s">
        <v>4709</v>
      </c>
      <c r="D7" s="6" t="s">
        <v>4710</v>
      </c>
      <c r="E7" s="6" t="s">
        <v>4711</v>
      </c>
      <c r="F7" s="6" t="s">
        <v>3760</v>
      </c>
    </row>
    <row r="8" customFormat="false" ht="15" hidden="false" customHeight="false" outlineLevel="0" collapsed="false">
      <c r="A8" s="6" t="s">
        <v>4712</v>
      </c>
      <c r="B8" s="6" t="s">
        <v>4708</v>
      </c>
      <c r="C8" s="6" t="s">
        <v>4713</v>
      </c>
      <c r="D8" s="6" t="s">
        <v>4714</v>
      </c>
      <c r="E8" s="6" t="s">
        <v>4715</v>
      </c>
      <c r="F8" s="6" t="s">
        <v>3760</v>
      </c>
    </row>
    <row r="9" customFormat="false" ht="15" hidden="false" customHeight="false" outlineLevel="0" collapsed="false">
      <c r="A9" s="6" t="s">
        <v>4716</v>
      </c>
      <c r="B9" s="6" t="s">
        <v>4717</v>
      </c>
      <c r="C9" s="6" t="s">
        <v>4718</v>
      </c>
      <c r="D9" s="6" t="s">
        <v>4719</v>
      </c>
      <c r="E9" s="6" t="s">
        <v>4720</v>
      </c>
      <c r="F9" s="6" t="s">
        <v>3760</v>
      </c>
    </row>
    <row r="10" customFormat="false" ht="15" hidden="false" customHeight="false" outlineLevel="0" collapsed="false">
      <c r="A10" s="6" t="s">
        <v>4721</v>
      </c>
      <c r="B10" s="6" t="s">
        <v>4722</v>
      </c>
      <c r="C10" s="6" t="s">
        <v>4723</v>
      </c>
      <c r="D10" s="6" t="s">
        <v>4724</v>
      </c>
      <c r="E10" s="6" t="s">
        <v>4725</v>
      </c>
      <c r="F10" s="6" t="s">
        <v>3760</v>
      </c>
    </row>
    <row r="11" customFormat="false" ht="15" hidden="false" customHeight="false" outlineLevel="0" collapsed="false">
      <c r="A11" s="6" t="s">
        <v>4726</v>
      </c>
      <c r="B11" s="6" t="s">
        <v>4727</v>
      </c>
      <c r="C11" s="6" t="s">
        <v>4728</v>
      </c>
      <c r="D11" s="6" t="s">
        <v>4460</v>
      </c>
      <c r="E11" s="6" t="s">
        <v>4729</v>
      </c>
      <c r="F11" s="6" t="s">
        <v>3799</v>
      </c>
    </row>
    <row r="12" customFormat="false" ht="15" hidden="false" customHeight="false" outlineLevel="0" collapsed="false">
      <c r="A12" s="6" t="s">
        <v>4730</v>
      </c>
      <c r="B12" s="6" t="s">
        <v>4717</v>
      </c>
      <c r="C12" s="6" t="s">
        <v>4731</v>
      </c>
      <c r="D12" s="6" t="s">
        <v>4732</v>
      </c>
      <c r="E12" s="6" t="s">
        <v>4733</v>
      </c>
      <c r="F12" s="6" t="s">
        <v>3799</v>
      </c>
    </row>
    <row r="13" customFormat="false" ht="15" hidden="false" customHeight="false" outlineLevel="0" collapsed="false">
      <c r="A13" s="6" t="s">
        <v>4734</v>
      </c>
      <c r="B13" s="6" t="s">
        <v>4735</v>
      </c>
      <c r="C13" s="6" t="s">
        <v>4736</v>
      </c>
      <c r="D13" s="6" t="s">
        <v>4737</v>
      </c>
      <c r="E13" s="6" t="s">
        <v>4738</v>
      </c>
      <c r="F13" s="6" t="s">
        <v>3799</v>
      </c>
    </row>
    <row r="14" customFormat="false" ht="15" hidden="false" customHeight="false" outlineLevel="0" collapsed="false">
      <c r="A14" s="6" t="s">
        <v>4739</v>
      </c>
      <c r="B14" s="6" t="s">
        <v>4740</v>
      </c>
      <c r="C14" s="6" t="s">
        <v>4741</v>
      </c>
      <c r="D14" s="6" t="s">
        <v>4742</v>
      </c>
      <c r="E14" s="6" t="s">
        <v>4743</v>
      </c>
      <c r="F14" s="6" t="s">
        <v>3799</v>
      </c>
    </row>
    <row r="15" customFormat="false" ht="15" hidden="false" customHeight="false" outlineLevel="0" collapsed="false">
      <c r="A15" s="6" t="s">
        <v>4744</v>
      </c>
      <c r="B15" s="6" t="s">
        <v>4717</v>
      </c>
      <c r="C15" s="6" t="s">
        <v>4745</v>
      </c>
      <c r="D15" s="6" t="s">
        <v>4746</v>
      </c>
      <c r="E15" s="6" t="s">
        <v>4747</v>
      </c>
      <c r="F15" s="6" t="s">
        <v>3857</v>
      </c>
    </row>
    <row r="16" customFormat="false" ht="15" hidden="false" customHeight="false" outlineLevel="0" collapsed="false">
      <c r="A16" s="6" t="s">
        <v>4748</v>
      </c>
      <c r="B16" s="6" t="s">
        <v>1830</v>
      </c>
      <c r="C16" s="6" t="s">
        <v>4749</v>
      </c>
      <c r="D16" s="6" t="s">
        <v>4750</v>
      </c>
      <c r="E16" s="6" t="s">
        <v>4751</v>
      </c>
      <c r="F16" s="6" t="s">
        <v>3799</v>
      </c>
    </row>
    <row r="17" customFormat="false" ht="22.35" hidden="false" customHeight="false" outlineLevel="0" collapsed="false">
      <c r="A17" s="6" t="s">
        <v>4752</v>
      </c>
      <c r="B17" s="6" t="s">
        <v>4753</v>
      </c>
      <c r="C17" s="6" t="s">
        <v>4754</v>
      </c>
      <c r="D17" s="6" t="s">
        <v>4755</v>
      </c>
      <c r="E17" s="6" t="s">
        <v>4756</v>
      </c>
      <c r="F17" s="6" t="s">
        <v>3799</v>
      </c>
    </row>
    <row r="18" customFormat="false" ht="22.35" hidden="false" customHeight="false" outlineLevel="0" collapsed="false">
      <c r="A18" s="6" t="s">
        <v>4757</v>
      </c>
      <c r="B18" s="6" t="s">
        <v>4758</v>
      </c>
      <c r="C18" s="6" t="s">
        <v>4759</v>
      </c>
      <c r="D18" s="6" t="s">
        <v>4760</v>
      </c>
      <c r="E18" s="6" t="s">
        <v>4761</v>
      </c>
      <c r="F18" s="6" t="s">
        <v>3799</v>
      </c>
    </row>
    <row r="19" customFormat="false" ht="22.35" hidden="false" customHeight="false" outlineLevel="0" collapsed="false">
      <c r="A19" s="6" t="s">
        <v>4762</v>
      </c>
      <c r="B19" s="6" t="s">
        <v>4758</v>
      </c>
      <c r="C19" s="6" t="s">
        <v>4763</v>
      </c>
      <c r="D19" s="6" t="s">
        <v>4764</v>
      </c>
      <c r="E19" s="6" t="s">
        <v>4765</v>
      </c>
      <c r="F19" s="6" t="s">
        <v>3857</v>
      </c>
    </row>
    <row r="20" customFormat="false" ht="15" hidden="false" customHeight="false" outlineLevel="0" collapsed="false">
      <c r="A20" s="6" t="s">
        <v>4766</v>
      </c>
      <c r="B20" s="6" t="s">
        <v>4767</v>
      </c>
      <c r="C20" s="6" t="s">
        <v>4768</v>
      </c>
      <c r="D20" s="6" t="s">
        <v>4769</v>
      </c>
      <c r="E20" s="6" t="s">
        <v>4770</v>
      </c>
      <c r="F20" s="6" t="s">
        <v>3857</v>
      </c>
    </row>
    <row r="21" customFormat="false" ht="22.35" hidden="false" customHeight="false" outlineLevel="0" collapsed="false">
      <c r="A21" s="6" t="s">
        <v>4771</v>
      </c>
      <c r="B21" s="6" t="s">
        <v>4772</v>
      </c>
      <c r="C21" s="6" t="s">
        <v>4773</v>
      </c>
      <c r="D21" s="6" t="s">
        <v>4774</v>
      </c>
      <c r="E21" s="6" t="s">
        <v>4775</v>
      </c>
      <c r="F21" s="6" t="s">
        <v>3799</v>
      </c>
    </row>
    <row r="22" customFormat="false" ht="22.35" hidden="false" customHeight="false" outlineLevel="0" collapsed="false">
      <c r="A22" s="6" t="s">
        <v>4776</v>
      </c>
      <c r="B22" s="6" t="s">
        <v>4777</v>
      </c>
      <c r="C22" s="6" t="s">
        <v>4778</v>
      </c>
      <c r="D22" s="6" t="s">
        <v>4779</v>
      </c>
      <c r="E22" s="6" t="s">
        <v>4780</v>
      </c>
      <c r="F22" s="6" t="s">
        <v>3799</v>
      </c>
    </row>
    <row r="23" customFormat="false" ht="22.35" hidden="false" customHeight="false" outlineLevel="0" collapsed="false">
      <c r="A23" s="6" t="s">
        <v>4781</v>
      </c>
      <c r="B23" s="6" t="s">
        <v>1624</v>
      </c>
      <c r="C23" s="6" t="s">
        <v>4782</v>
      </c>
      <c r="D23" s="6" t="s">
        <v>4783</v>
      </c>
      <c r="E23" s="6" t="s">
        <v>4784</v>
      </c>
      <c r="F23" s="6" t="s">
        <v>3857</v>
      </c>
    </row>
  </sheetData>
  <autoFilter ref="A1:F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20"/>
    <col collapsed="false" customWidth="true" hidden="false" outlineLevel="0" max="7" min="7" style="0" width="11"/>
    <col collapsed="false" customWidth="true" hidden="false" outlineLevel="0" max="8" min="8" style="0" width="24"/>
    <col collapsed="false" customWidth="true" hidden="false" outlineLevel="0" max="9" min="9" style="0" width="30"/>
  </cols>
  <sheetData>
    <row r="1" customFormat="false" ht="31.5" hidden="false" customHeight="true" outlineLevel="0" collapsed="false">
      <c r="A1" s="4" t="s">
        <v>50</v>
      </c>
      <c r="B1" s="4" t="s">
        <v>53</v>
      </c>
      <c r="C1" s="4" t="s">
        <v>55</v>
      </c>
      <c r="D1" s="4" t="s">
        <v>4785</v>
      </c>
      <c r="E1" s="4" t="s">
        <v>4786</v>
      </c>
      <c r="F1" s="4" t="s">
        <v>4787</v>
      </c>
      <c r="G1" s="4" t="s">
        <v>4788</v>
      </c>
      <c r="H1" s="4" t="s">
        <v>4789</v>
      </c>
      <c r="I1" s="4" t="s">
        <v>4790</v>
      </c>
    </row>
    <row r="2" customFormat="false" ht="15" hidden="false" customHeight="false" outlineLevel="0" collapsed="false">
      <c r="A2" s="6" t="s">
        <v>72</v>
      </c>
      <c r="B2" s="8" t="str">
        <f aca="false">INDEX(Material_Master!$D$2:$D$1000,MATCH(A2,Material_Master!$A$2:$A$1000,0))</f>
        <v>Site hoarding / temporary enclosure</v>
      </c>
      <c r="C2" s="8" t="str">
        <f aca="false">INDEX(Material_Master!$F$2:$F$1000,MATCH(A2,Material_Master!$A$2:$A$1000,0))</f>
        <v>rft</v>
      </c>
      <c r="D2" s="30"/>
      <c r="E2" s="31"/>
      <c r="F2" s="31"/>
      <c r="G2" s="12" t="s">
        <v>4791</v>
      </c>
    </row>
    <row r="3" customFormat="false" ht="15" hidden="false" customHeight="false" outlineLevel="0" collapsed="false">
      <c r="A3" s="6" t="s">
        <v>90</v>
      </c>
      <c r="B3" s="8" t="str">
        <f aca="false">INDEX(Material_Master!$D$2:$D$1000,MATCH(A3,Material_Master!$A$2:$A$1000,0))</f>
        <v>Temporary electricity connection &amp; site DB</v>
      </c>
      <c r="C3" s="8" t="str">
        <f aca="false">INDEX(Material_Master!$F$2:$F$1000,MATCH(A3,Material_Master!$A$2:$A$1000,0))</f>
        <v>LS</v>
      </c>
      <c r="D3" s="30"/>
      <c r="E3" s="31"/>
      <c r="F3" s="31"/>
      <c r="G3" s="12"/>
    </row>
    <row r="4" customFormat="false" ht="15" hidden="false" customHeight="false" outlineLevel="0" collapsed="false">
      <c r="A4" s="6" t="s">
        <v>100</v>
      </c>
      <c r="B4" s="8" t="str">
        <f aca="false">INDEX(Material_Master!$D$2:$D$1000,MATCH(A4,Material_Master!$A$2:$A$1000,0))</f>
        <v>Site store, watchman shed &amp; toilet</v>
      </c>
      <c r="C4" s="8" t="str">
        <f aca="false">INDEX(Material_Master!$F$2:$F$1000,MATCH(A4,Material_Master!$A$2:$A$1000,0))</f>
        <v>LS</v>
      </c>
      <c r="D4" s="30"/>
      <c r="E4" s="31"/>
      <c r="F4" s="31"/>
      <c r="G4" s="12"/>
    </row>
    <row r="5" customFormat="false" ht="15" hidden="false" customHeight="false" outlineLevel="0" collapsed="false">
      <c r="A5" s="6" t="s">
        <v>104</v>
      </c>
      <c r="B5" s="8" t="str">
        <f aca="false">INDEX(Material_Master!$D$2:$D$1000,MATCH(A5,Material_Master!$A$2:$A$1000,0))</f>
        <v>Setting-out consumables</v>
      </c>
      <c r="C5" s="8" t="str">
        <f aca="false">INDEX(Material_Master!$F$2:$F$1000,MATCH(A5,Material_Master!$A$2:$A$1000,0))</f>
        <v>LS</v>
      </c>
      <c r="D5" s="30"/>
      <c r="E5" s="31"/>
      <c r="F5" s="31"/>
      <c r="G5" s="12"/>
    </row>
    <row r="6" customFormat="false" ht="15" hidden="false" customHeight="false" outlineLevel="0" collapsed="false">
      <c r="A6" s="6" t="s">
        <v>111</v>
      </c>
      <c r="B6" s="8" t="str">
        <f aca="false">INDEX(Material_Master!$D$2:$D$1000,MATCH(A6,Material_Master!$A$2:$A$1000,0))</f>
        <v>Soil investigation (SBC test)</v>
      </c>
      <c r="C6" s="8" t="str">
        <f aca="false">INDEX(Material_Master!$F$2:$F$1000,MATCH(A6,Material_Master!$A$2:$A$1000,0))</f>
        <v>Nos</v>
      </c>
      <c r="D6" s="30"/>
      <c r="E6" s="31"/>
      <c r="F6" s="31"/>
      <c r="G6" s="12"/>
    </row>
    <row r="7" customFormat="false" ht="15" hidden="false" customHeight="false" outlineLevel="0" collapsed="false">
      <c r="A7" s="6" t="s">
        <v>123</v>
      </c>
      <c r="B7" s="8" t="str">
        <f aca="false">INDEX(Material_Master!$D$2:$D$1000,MATCH(A7,Material_Master!$A$2:$A$1000,0))</f>
        <v>Material testing (concrete cubes, rebar tensile, bricks)</v>
      </c>
      <c r="C7" s="8" t="str">
        <f aca="false">INDEX(Material_Master!$F$2:$F$1000,MATCH(A7,Material_Master!$A$2:$A$1000,0))</f>
        <v>Nos</v>
      </c>
      <c r="D7" s="30"/>
      <c r="E7" s="31"/>
      <c r="F7" s="31"/>
      <c r="G7" s="12"/>
    </row>
    <row r="8" customFormat="false" ht="15" hidden="false" customHeight="false" outlineLevel="0" collapsed="false">
      <c r="A8" s="6" t="s">
        <v>133</v>
      </c>
      <c r="B8" s="8" t="str">
        <f aca="false">INDEX(Material_Master!$D$2:$D$1000,MATCH(A8,Material_Master!$A$2:$A$1000,0))</f>
        <v>PPE, safety nets, barricading</v>
      </c>
      <c r="C8" s="8" t="str">
        <f aca="false">INDEX(Material_Master!$F$2:$F$1000,MATCH(A8,Material_Master!$A$2:$A$1000,0))</f>
        <v>LS</v>
      </c>
      <c r="D8" s="30"/>
      <c r="E8" s="31"/>
      <c r="F8" s="31"/>
      <c r="G8" s="12"/>
    </row>
    <row r="9" customFormat="false" ht="15" hidden="false" customHeight="false" outlineLevel="0" collapsed="false">
      <c r="A9" s="6" t="s">
        <v>138</v>
      </c>
      <c r="B9" s="8" t="str">
        <f aca="false">INDEX(Material_Master!$D$2:$D$1000,MATCH(A9,Material_Master!$A$2:$A$1000,0))</f>
        <v>Surplus excavated earth - disposal (tractor trolley loads)</v>
      </c>
      <c r="C9" s="8" t="str">
        <f aca="false">INDEX(Material_Master!$F$2:$F$1000,MATCH(A9,Material_Master!$A$2:$A$1000,0))</f>
        <v>cft</v>
      </c>
      <c r="D9" s="30"/>
      <c r="E9" s="31"/>
      <c r="F9" s="31"/>
      <c r="G9" s="12"/>
    </row>
    <row r="10" customFormat="false" ht="15" hidden="false" customHeight="false" outlineLevel="0" collapsed="false">
      <c r="A10" s="6" t="s">
        <v>152</v>
      </c>
      <c r="B10" s="8" t="str">
        <f aca="false">INDEX(Material_Master!$D$2:$D$1000,MATCH(A10,Material_Master!$A$2:$A$1000,0))</f>
        <v>Imported earth for plinth filling</v>
      </c>
      <c r="C10" s="8" t="str">
        <f aca="false">INDEX(Material_Master!$F$2:$F$1000,MATCH(A10,Material_Master!$A$2:$A$1000,0))</f>
        <v>cft</v>
      </c>
      <c r="D10" s="30"/>
      <c r="E10" s="31"/>
      <c r="F10" s="31"/>
      <c r="G10" s="12"/>
    </row>
    <row r="11" customFormat="false" ht="15" hidden="false" customHeight="false" outlineLevel="0" collapsed="false">
      <c r="A11" s="6" t="s">
        <v>164</v>
      </c>
      <c r="B11" s="8" t="str">
        <f aca="false">INDEX(Material_Master!$D$2:$D$1000,MATCH(A11,Material_Master!$A$2:$A$1000,0))</f>
        <v>Sand filling under floors (local 'bhal' / kassi sand)</v>
      </c>
      <c r="C11" s="8" t="str">
        <f aca="false">INDEX(Material_Master!$F$2:$F$1000,MATCH(A11,Material_Master!$A$2:$A$1000,0))</f>
        <v>cft</v>
      </c>
      <c r="D11" s="30"/>
      <c r="E11" s="31"/>
      <c r="F11" s="31"/>
      <c r="G11" s="12"/>
    </row>
    <row r="12" customFormat="false" ht="15" hidden="false" customHeight="false" outlineLevel="0" collapsed="false">
      <c r="A12" s="6" t="s">
        <v>172</v>
      </c>
      <c r="B12" s="8" t="str">
        <f aca="false">INDEX(Material_Master!$D$2:$D$1000,MATCH(A12,Material_Master!$A$2:$A$1000,0))</f>
        <v>Anti-termite chemical</v>
      </c>
      <c r="C12" s="8" t="str">
        <f aca="false">INDEX(Material_Master!$F$2:$F$1000,MATCH(A12,Material_Master!$A$2:$A$1000,0))</f>
        <v>L</v>
      </c>
      <c r="D12" s="30"/>
      <c r="E12" s="31"/>
      <c r="F12" s="31"/>
      <c r="G12" s="12"/>
    </row>
    <row r="13" customFormat="false" ht="15" hidden="false" customHeight="false" outlineLevel="0" collapsed="false">
      <c r="A13" s="6" t="s">
        <v>186</v>
      </c>
      <c r="B13" s="8" t="str">
        <f aca="false">INDEX(Material_Master!$D$2:$D$1000,MATCH(A13,Material_Master!$A$2:$A$1000,0))</f>
        <v>Dewatering (if water table encountered)</v>
      </c>
      <c r="C13" s="8" t="str">
        <f aca="false">INDEX(Material_Master!$F$2:$F$1000,MATCH(A13,Material_Master!$A$2:$A$1000,0))</f>
        <v>LS</v>
      </c>
      <c r="D13" s="30"/>
      <c r="E13" s="31"/>
      <c r="F13" s="31"/>
      <c r="G13" s="12"/>
    </row>
    <row r="14" customFormat="false" ht="15" hidden="false" customHeight="false" outlineLevel="0" collapsed="false">
      <c r="A14" s="6" t="s">
        <v>194</v>
      </c>
      <c r="B14" s="8" t="str">
        <f aca="false">INDEX(Material_Master!$D$2:$D$1000,MATCH(A14,Material_Master!$A$2:$A$1000,0))</f>
        <v>Brick ballast / khangar for sub-base</v>
      </c>
      <c r="C14" s="8" t="str">
        <f aca="false">INDEX(Material_Master!$F$2:$F$1000,MATCH(A14,Material_Master!$A$2:$A$1000,0))</f>
        <v>cft</v>
      </c>
      <c r="D14" s="30"/>
      <c r="E14" s="31"/>
      <c r="F14" s="31"/>
      <c r="G14" s="12"/>
    </row>
    <row r="15" customFormat="false" ht="15" hidden="false" customHeight="false" outlineLevel="0" collapsed="false">
      <c r="A15" s="6" t="s">
        <v>203</v>
      </c>
      <c r="B15" s="8" t="str">
        <f aca="false">INDEX(Material_Master!$D$2:$D$1000,MATCH(A15,Material_Master!$A$2:$A$1000,0))</f>
        <v>Polythene vapour barrier under GF floor</v>
      </c>
      <c r="C15" s="8" t="str">
        <f aca="false">INDEX(Material_Master!$F$2:$F$1000,MATCH(A15,Material_Master!$A$2:$A$1000,0))</f>
        <v>sft</v>
      </c>
      <c r="D15" s="30"/>
      <c r="E15" s="31"/>
      <c r="F15" s="31"/>
      <c r="G15" s="12"/>
    </row>
    <row r="16" customFormat="false" ht="22.35" hidden="false" customHeight="false" outlineLevel="0" collapsed="false">
      <c r="A16" s="6" t="s">
        <v>211</v>
      </c>
      <c r="B16" s="8" t="str">
        <f aca="false">INDEX(Material_Master!$D$2:$D$1000,MATCH(A16,Material_Master!$A$2:$A$1000,0))</f>
        <v>Ordinary Portland Cement (OPC) - 50 kg bag</v>
      </c>
      <c r="C16" s="8" t="str">
        <f aca="false">INDEX(Material_Master!$F$2:$F$1000,MATCH(A16,Material_Master!$A$2:$A$1000,0))</f>
        <v>bag</v>
      </c>
      <c r="D16" s="30" t="n">
        <v>1500</v>
      </c>
      <c r="E16" s="31" t="s">
        <v>4792</v>
      </c>
      <c r="F16" s="31" t="s">
        <v>4793</v>
      </c>
      <c r="G16" s="12"/>
      <c r="H16" s="6" t="s">
        <v>4794</v>
      </c>
      <c r="I16" s="6" t="s">
        <v>4795</v>
      </c>
    </row>
    <row r="17" customFormat="false" ht="15" hidden="false" customHeight="false" outlineLevel="0" collapsed="false">
      <c r="A17" s="6" t="s">
        <v>228</v>
      </c>
      <c r="B17" s="8" t="str">
        <f aca="false">INDEX(Material_Master!$D$2:$D$1000,MATCH(A17,Material_Master!$A$2:$A$1000,0))</f>
        <v>Sulphate Resisting Cement (SRC)</v>
      </c>
      <c r="C17" s="8" t="str">
        <f aca="false">INDEX(Material_Master!$F$2:$F$1000,MATCH(A17,Material_Master!$A$2:$A$1000,0))</f>
        <v>bag</v>
      </c>
      <c r="D17" s="30"/>
      <c r="E17" s="31"/>
      <c r="F17" s="31"/>
      <c r="G17" s="12"/>
    </row>
    <row r="18" customFormat="false" ht="15" hidden="false" customHeight="false" outlineLevel="0" collapsed="false">
      <c r="A18" s="6" t="s">
        <v>235</v>
      </c>
      <c r="B18" s="8" t="str">
        <f aca="false">INDEX(Material_Master!$D$2:$D$1000,MATCH(A18,Material_Master!$A$2:$A$1000,0))</f>
        <v>White cement</v>
      </c>
      <c r="C18" s="8" t="str">
        <f aca="false">INDEX(Material_Master!$F$2:$F$1000,MATCH(A18,Material_Master!$A$2:$A$1000,0))</f>
        <v>kg</v>
      </c>
      <c r="D18" s="30"/>
      <c r="E18" s="31"/>
      <c r="F18" s="31"/>
      <c r="G18" s="12"/>
    </row>
    <row r="19" customFormat="false" ht="15" hidden="false" customHeight="false" outlineLevel="0" collapsed="false">
      <c r="A19" s="6" t="s">
        <v>246</v>
      </c>
      <c r="B19" s="8" t="str">
        <f aca="false">INDEX(Material_Master!$D$2:$D$1000,MATCH(A19,Material_Master!$A$2:$A$1000,0))</f>
        <v>Coarse sand for concrete (Lawrencepur)</v>
      </c>
      <c r="C19" s="8" t="str">
        <f aca="false">INDEX(Material_Master!$F$2:$F$1000,MATCH(A19,Material_Master!$A$2:$A$1000,0))</f>
        <v>cft</v>
      </c>
      <c r="D19" s="30"/>
      <c r="E19" s="31"/>
      <c r="F19" s="31"/>
      <c r="G19" s="12"/>
      <c r="H19" s="6" t="s">
        <v>4796</v>
      </c>
      <c r="I19" s="6" t="s">
        <v>4797</v>
      </c>
    </row>
    <row r="20" customFormat="false" ht="15" hidden="false" customHeight="false" outlineLevel="0" collapsed="false">
      <c r="A20" s="6" t="s">
        <v>258</v>
      </c>
      <c r="B20" s="8" t="str">
        <f aca="false">INDEX(Material_Master!$D$2:$D$1000,MATCH(A20,Material_Master!$A$2:$A$1000,0))</f>
        <v>Sand for masonry &amp; plaster</v>
      </c>
      <c r="C20" s="8" t="str">
        <f aca="false">INDEX(Material_Master!$F$2:$F$1000,MATCH(A20,Material_Master!$A$2:$A$1000,0))</f>
        <v>cft</v>
      </c>
      <c r="D20" s="30"/>
      <c r="E20" s="31"/>
      <c r="F20" s="31"/>
      <c r="G20" s="12"/>
    </row>
    <row r="21" customFormat="false" ht="15" hidden="false" customHeight="false" outlineLevel="0" collapsed="false">
      <c r="A21" s="6" t="s">
        <v>268</v>
      </c>
      <c r="B21" s="8" t="str">
        <f aca="false">INDEX(Material_Master!$D$2:$D$1000,MATCH(A21,Material_Master!$A$2:$A$1000,0))</f>
        <v>Crushed stone 3/4in down (Margalla crush)</v>
      </c>
      <c r="C21" s="8" t="str">
        <f aca="false">INDEX(Material_Master!$F$2:$F$1000,MATCH(A21,Material_Master!$A$2:$A$1000,0))</f>
        <v>cft</v>
      </c>
      <c r="D21" s="30"/>
      <c r="E21" s="31"/>
      <c r="F21" s="31"/>
      <c r="G21" s="12"/>
      <c r="H21" s="6" t="s">
        <v>4798</v>
      </c>
      <c r="I21" s="6" t="s">
        <v>4797</v>
      </c>
    </row>
    <row r="22" customFormat="false" ht="15" hidden="false" customHeight="false" outlineLevel="0" collapsed="false">
      <c r="A22" s="6" t="s">
        <v>277</v>
      </c>
      <c r="B22" s="8" t="str">
        <f aca="false">INDEX(Material_Master!$D$2:$D$1000,MATCH(A22,Material_Master!$A$2:$A$1000,0))</f>
        <v>Crushed stone 1/2in / 3/8in down</v>
      </c>
      <c r="C22" s="8" t="str">
        <f aca="false">INDEX(Material_Master!$F$2:$F$1000,MATCH(A22,Material_Master!$A$2:$A$1000,0))</f>
        <v>cft</v>
      </c>
      <c r="D22" s="30"/>
      <c r="E22" s="31"/>
      <c r="F22" s="31"/>
      <c r="G22" s="12"/>
    </row>
    <row r="23" customFormat="false" ht="15" hidden="false" customHeight="false" outlineLevel="0" collapsed="false">
      <c r="A23" s="6" t="s">
        <v>287</v>
      </c>
      <c r="B23" s="8" t="str">
        <f aca="false">INDEX(Material_Master!$D$2:$D$1000,MATCH(A23,Material_Master!$A$2:$A$1000,0))</f>
        <v>Crushed stone 1.5in down (or brick ballast)</v>
      </c>
      <c r="C23" s="8" t="str">
        <f aca="false">INDEX(Material_Master!$F$2:$F$1000,MATCH(A23,Material_Master!$A$2:$A$1000,0))</f>
        <v>cft</v>
      </c>
      <c r="D23" s="30"/>
      <c r="E23" s="31"/>
      <c r="F23" s="31"/>
      <c r="G23" s="12"/>
    </row>
    <row r="24" customFormat="false" ht="15" hidden="false" customHeight="false" outlineLevel="0" collapsed="false">
      <c r="A24" s="6" t="s">
        <v>295</v>
      </c>
      <c r="B24" s="8" t="str">
        <f aca="false">INDEX(Material_Master!$D$2:$D$1000,MATCH(A24,Material_Master!$A$2:$A$1000,0))</f>
        <v>Ready-mix concrete (alternative to site mix)</v>
      </c>
      <c r="C24" s="8" t="str">
        <f aca="false">INDEX(Material_Master!$F$2:$F$1000,MATCH(A24,Material_Master!$A$2:$A$1000,0))</f>
        <v>cft</v>
      </c>
      <c r="D24" s="30"/>
      <c r="E24" s="31"/>
      <c r="F24" s="31"/>
      <c r="G24" s="12"/>
    </row>
    <row r="25" customFormat="false" ht="15" hidden="false" customHeight="false" outlineLevel="0" collapsed="false">
      <c r="A25" s="6" t="s">
        <v>308</v>
      </c>
      <c r="B25" s="8" t="str">
        <f aca="false">INDEX(Material_Master!$D$2:$D$1000,MATCH(A25,Material_Master!$A$2:$A$1000,0))</f>
        <v>Plasticizer / superplasticizer</v>
      </c>
      <c r="C25" s="8" t="str">
        <f aca="false">INDEX(Material_Master!$F$2:$F$1000,MATCH(A25,Material_Master!$A$2:$A$1000,0))</f>
        <v>L</v>
      </c>
      <c r="D25" s="30"/>
      <c r="E25" s="31"/>
      <c r="F25" s="31"/>
      <c r="G25" s="12"/>
    </row>
    <row r="26" customFormat="false" ht="15" hidden="false" customHeight="false" outlineLevel="0" collapsed="false">
      <c r="A26" s="6" t="s">
        <v>317</v>
      </c>
      <c r="B26" s="8" t="str">
        <f aca="false">INDEX(Material_Master!$D$2:$D$1000,MATCH(A26,Material_Master!$A$2:$A$1000,0))</f>
        <v>Bonding agent (SBR latex)</v>
      </c>
      <c r="C26" s="8" t="str">
        <f aca="false">INDEX(Material_Master!$F$2:$F$1000,MATCH(A26,Material_Master!$A$2:$A$1000,0))</f>
        <v>L</v>
      </c>
      <c r="D26" s="30"/>
      <c r="E26" s="31"/>
      <c r="F26" s="31"/>
      <c r="G26" s="12"/>
    </row>
    <row r="27" customFormat="false" ht="15" hidden="false" customHeight="false" outlineLevel="0" collapsed="false">
      <c r="A27" s="6" t="s">
        <v>325</v>
      </c>
      <c r="B27" s="8" t="str">
        <f aca="false">INDEX(Material_Master!$D$2:$D$1000,MATCH(A27,Material_Master!$A$2:$A$1000,0))</f>
        <v>Curing hessian / curing compound</v>
      </c>
      <c r="C27" s="8" t="str">
        <f aca="false">INDEX(Material_Master!$F$2:$F$1000,MATCH(A27,Material_Master!$A$2:$A$1000,0))</f>
        <v>sft</v>
      </c>
      <c r="D27" s="30"/>
      <c r="E27" s="31"/>
      <c r="F27" s="31"/>
      <c r="G27" s="12"/>
    </row>
    <row r="28" customFormat="false" ht="15" hidden="false" customHeight="false" outlineLevel="0" collapsed="false">
      <c r="A28" s="6" t="s">
        <v>333</v>
      </c>
      <c r="B28" s="8" t="str">
        <f aca="false">INDEX(Material_Master!$D$2:$D$1000,MATCH(A28,Material_Master!$A$2:$A$1000,0))</f>
        <v>Cover blocks / rebar spacers</v>
      </c>
      <c r="C28" s="8" t="str">
        <f aca="false">INDEX(Material_Master!$F$2:$F$1000,MATCH(A28,Material_Master!$A$2:$A$1000,0))</f>
        <v>Nos</v>
      </c>
      <c r="D28" s="30"/>
      <c r="E28" s="31"/>
      <c r="F28" s="31"/>
      <c r="G28" s="12"/>
    </row>
    <row r="29" customFormat="false" ht="15" hidden="false" customHeight="false" outlineLevel="0" collapsed="false">
      <c r="A29" s="6" t="s">
        <v>343</v>
      </c>
      <c r="B29" s="8" t="str">
        <f aca="false">INDEX(Material_Master!$D$2:$D$1000,MATCH(A29,Material_Master!$A$2:$A$1000,0))</f>
        <v>Stone/marble chips 1/8-3/8in</v>
      </c>
      <c r="C29" s="8" t="str">
        <f aca="false">INDEX(Material_Master!$F$2:$F$1000,MATCH(A29,Material_Master!$A$2:$A$1000,0))</f>
        <v>cft</v>
      </c>
      <c r="D29" s="30"/>
      <c r="E29" s="31"/>
      <c r="F29" s="31"/>
      <c r="G29" s="12"/>
    </row>
    <row r="30" customFormat="false" ht="15" hidden="false" customHeight="false" outlineLevel="0" collapsed="false">
      <c r="A30" s="6" t="s">
        <v>353</v>
      </c>
      <c r="B30" s="8" t="str">
        <f aca="false">INDEX(Material_Master!$D$2:$D$1000,MATCH(A30,Material_Master!$A$2:$A$1000,0))</f>
        <v>Deformed bar #3 (10 mm / 3/8in)</v>
      </c>
      <c r="C30" s="8" t="str">
        <f aca="false">INDEX(Material_Master!$F$2:$F$1000,MATCH(A30,Material_Master!$A$2:$A$1000,0))</f>
        <v>kg</v>
      </c>
      <c r="D30" s="30"/>
      <c r="E30" s="31"/>
      <c r="F30" s="31"/>
      <c r="G30" s="12"/>
      <c r="H30" s="6" t="s">
        <v>4799</v>
      </c>
      <c r="I30" s="6" t="s">
        <v>4797</v>
      </c>
    </row>
    <row r="31" customFormat="false" ht="15" hidden="false" customHeight="false" outlineLevel="0" collapsed="false">
      <c r="A31" s="6" t="s">
        <v>367</v>
      </c>
      <c r="B31" s="8" t="str">
        <f aca="false">INDEX(Material_Master!$D$2:$D$1000,MATCH(A31,Material_Master!$A$2:$A$1000,0))</f>
        <v>Deformed bar #4 (12 mm / 1/2in)</v>
      </c>
      <c r="C31" s="8" t="str">
        <f aca="false">INDEX(Material_Master!$F$2:$F$1000,MATCH(A31,Material_Master!$A$2:$A$1000,0))</f>
        <v>kg</v>
      </c>
      <c r="D31" s="30"/>
      <c r="E31" s="31"/>
      <c r="F31" s="31"/>
      <c r="G31" s="12"/>
    </row>
    <row r="32" customFormat="false" ht="15" hidden="false" customHeight="false" outlineLevel="0" collapsed="false">
      <c r="A32" s="6" t="s">
        <v>376</v>
      </c>
      <c r="B32" s="8" t="str">
        <f aca="false">INDEX(Material_Master!$D$2:$D$1000,MATCH(A32,Material_Master!$A$2:$A$1000,0))</f>
        <v>Deformed bar #5 (16 mm / 5/8in)</v>
      </c>
      <c r="C32" s="8" t="str">
        <f aca="false">INDEX(Material_Master!$F$2:$F$1000,MATCH(A32,Material_Master!$A$2:$A$1000,0))</f>
        <v>kg</v>
      </c>
      <c r="D32" s="30"/>
      <c r="E32" s="31"/>
      <c r="F32" s="31"/>
      <c r="G32" s="12"/>
    </row>
    <row r="33" customFormat="false" ht="15" hidden="false" customHeight="false" outlineLevel="0" collapsed="false">
      <c r="A33" s="6" t="s">
        <v>385</v>
      </c>
      <c r="B33" s="8" t="str">
        <f aca="false">INDEX(Material_Master!$D$2:$D$1000,MATCH(A33,Material_Master!$A$2:$A$1000,0))</f>
        <v>Deformed bar #6 (19/20 mm / 3/4in)</v>
      </c>
      <c r="C33" s="8" t="str">
        <f aca="false">INDEX(Material_Master!$F$2:$F$1000,MATCH(A33,Material_Master!$A$2:$A$1000,0))</f>
        <v>kg</v>
      </c>
      <c r="D33" s="30"/>
      <c r="E33" s="31"/>
      <c r="F33" s="31"/>
      <c r="G33" s="12"/>
    </row>
    <row r="34" customFormat="false" ht="15" hidden="false" customHeight="false" outlineLevel="0" collapsed="false">
      <c r="A34" s="6" t="s">
        <v>391</v>
      </c>
      <c r="B34" s="8" t="str">
        <f aca="false">INDEX(Material_Master!$D$2:$D$1000,MATCH(A34,Material_Master!$A$2:$A$1000,0))</f>
        <v>Binding wire (black annealed)</v>
      </c>
      <c r="C34" s="8" t="str">
        <f aca="false">INDEX(Material_Master!$F$2:$F$1000,MATCH(A34,Material_Master!$A$2:$A$1000,0))</f>
        <v>kg</v>
      </c>
      <c r="D34" s="30"/>
      <c r="E34" s="31"/>
      <c r="F34" s="31"/>
      <c r="G34" s="12"/>
    </row>
    <row r="35" customFormat="false" ht="15" hidden="false" customHeight="false" outlineLevel="0" collapsed="false">
      <c r="A35" s="6" t="s">
        <v>397</v>
      </c>
      <c r="B35" s="8" t="str">
        <f aca="false">INDEX(Material_Master!$D$2:$D$1000,MATCH(A35,Material_Master!$A$2:$A$1000,0))</f>
        <v>Chairs / bar supports</v>
      </c>
      <c r="C35" s="8" t="str">
        <f aca="false">INDEX(Material_Master!$F$2:$F$1000,MATCH(A35,Material_Master!$A$2:$A$1000,0))</f>
        <v>kg</v>
      </c>
      <c r="D35" s="30"/>
      <c r="E35" s="31"/>
      <c r="F35" s="31"/>
      <c r="G35" s="12"/>
    </row>
    <row r="36" customFormat="false" ht="15" hidden="false" customHeight="false" outlineLevel="0" collapsed="false">
      <c r="A36" s="6" t="s">
        <v>404</v>
      </c>
      <c r="B36" s="8" t="str">
        <f aca="false">INDEX(Material_Master!$D$2:$D$1000,MATCH(A36,Material_Master!$A$2:$A$1000,0))</f>
        <v>Welded wire mesh</v>
      </c>
      <c r="C36" s="8" t="str">
        <f aca="false">INDEX(Material_Master!$F$2:$F$1000,MATCH(A36,Material_Master!$A$2:$A$1000,0))</f>
        <v>sft</v>
      </c>
      <c r="D36" s="30"/>
      <c r="E36" s="31"/>
      <c r="F36" s="31"/>
      <c r="G36" s="12"/>
    </row>
    <row r="37" customFormat="false" ht="15" hidden="false" customHeight="false" outlineLevel="0" collapsed="false">
      <c r="A37" s="6" t="s">
        <v>412</v>
      </c>
      <c r="B37" s="8" t="str">
        <f aca="false">INDEX(Material_Master!$D$2:$D$1000,MATCH(A37,Material_Master!$A$2:$A$1000,0))</f>
        <v>MS sections (angles, channels, pipes, flats)</v>
      </c>
      <c r="C37" s="8" t="str">
        <f aca="false">INDEX(Material_Master!$F$2:$F$1000,MATCH(A37,Material_Master!$A$2:$A$1000,0))</f>
        <v>kg</v>
      </c>
      <c r="D37" s="30"/>
      <c r="E37" s="31"/>
      <c r="F37" s="31"/>
      <c r="G37" s="12"/>
    </row>
    <row r="38" customFormat="false" ht="15" hidden="false" customHeight="false" outlineLevel="0" collapsed="false">
      <c r="A38" s="6" t="s">
        <v>425</v>
      </c>
      <c r="B38" s="8" t="str">
        <f aca="false">INDEX(Material_Master!$D$2:$D$1000,MATCH(A38,Material_Master!$A$2:$A$1000,0))</f>
        <v>Wall ties / dowels at column-wall &amp; wall-wall junctions</v>
      </c>
      <c r="C38" s="8" t="str">
        <f aca="false">INDEX(Material_Master!$F$2:$F$1000,MATCH(A38,Material_Master!$A$2:$A$1000,0))</f>
        <v>kg</v>
      </c>
      <c r="D38" s="30"/>
      <c r="E38" s="31"/>
      <c r="F38" s="31"/>
      <c r="G38" s="12"/>
    </row>
    <row r="39" customFormat="false" ht="15" hidden="false" customHeight="false" outlineLevel="0" collapsed="false">
      <c r="A39" s="6" t="s">
        <v>435</v>
      </c>
      <c r="B39" s="8" t="str">
        <f aca="false">INDEX(Material_Master!$D$2:$D$1000,MATCH(A39,Material_Master!$A$2:$A$1000,0))</f>
        <v>Steel shuttering plates (hire)</v>
      </c>
      <c r="C39" s="8" t="str">
        <f aca="false">INDEX(Material_Master!$F$2:$F$1000,MATCH(A39,Material_Master!$A$2:$A$1000,0))</f>
        <v>sft</v>
      </c>
      <c r="D39" s="30"/>
      <c r="E39" s="31"/>
      <c r="F39" s="31"/>
      <c r="G39" s="12"/>
    </row>
    <row r="40" customFormat="false" ht="15" hidden="false" customHeight="false" outlineLevel="0" collapsed="false">
      <c r="A40" s="6" t="s">
        <v>446</v>
      </c>
      <c r="B40" s="8" t="str">
        <f aca="false">INDEX(Material_Master!$D$2:$D$1000,MATCH(A40,Material_Master!$A$2:$A$1000,0))</f>
        <v>Plywood (shuttering grade 12-18mm) / timber planks</v>
      </c>
      <c r="C40" s="8" t="str">
        <f aca="false">INDEX(Material_Master!$F$2:$F$1000,MATCH(A40,Material_Master!$A$2:$A$1000,0))</f>
        <v>sft</v>
      </c>
      <c r="D40" s="30"/>
      <c r="E40" s="31"/>
      <c r="F40" s="31"/>
      <c r="G40" s="12"/>
    </row>
    <row r="41" customFormat="false" ht="15" hidden="false" customHeight="false" outlineLevel="0" collapsed="false">
      <c r="A41" s="6" t="s">
        <v>455</v>
      </c>
      <c r="B41" s="8" t="str">
        <f aca="false">INDEX(Material_Master!$D$2:$D$1000,MATCH(A41,Material_Master!$A$2:$A$1000,0))</f>
        <v>Steel props / bamboo ballies (hire)</v>
      </c>
      <c r="C41" s="8" t="str">
        <f aca="false">INDEX(Material_Master!$F$2:$F$1000,MATCH(A41,Material_Master!$A$2:$A$1000,0))</f>
        <v>Nos</v>
      </c>
      <c r="D41" s="30"/>
      <c r="E41" s="31"/>
      <c r="F41" s="31"/>
      <c r="G41" s="12"/>
    </row>
    <row r="42" customFormat="false" ht="15" hidden="false" customHeight="false" outlineLevel="0" collapsed="false">
      <c r="A42" s="6" t="s">
        <v>460</v>
      </c>
      <c r="B42" s="8" t="str">
        <f aca="false">INDEX(Material_Master!$D$2:$D$1000,MATCH(A42,Material_Master!$A$2:$A$1000,0))</f>
        <v>Timber battens / scantlings</v>
      </c>
      <c r="C42" s="8" t="str">
        <f aca="false">INDEX(Material_Master!$F$2:$F$1000,MATCH(A42,Material_Master!$A$2:$A$1000,0))</f>
        <v>cft</v>
      </c>
      <c r="D42" s="30"/>
      <c r="E42" s="31"/>
      <c r="F42" s="31"/>
      <c r="G42" s="12"/>
    </row>
    <row r="43" customFormat="false" ht="15" hidden="false" customHeight="false" outlineLevel="0" collapsed="false">
      <c r="A43" s="6" t="s">
        <v>466</v>
      </c>
      <c r="B43" s="8" t="str">
        <f aca="false">INDEX(Material_Master!$D$2:$D$1000,MATCH(A43,Material_Master!$A$2:$A$1000,0))</f>
        <v>Nails (assorted)</v>
      </c>
      <c r="C43" s="8" t="str">
        <f aca="false">INDEX(Material_Master!$F$2:$F$1000,MATCH(A43,Material_Master!$A$2:$A$1000,0))</f>
        <v>kg</v>
      </c>
      <c r="D43" s="30"/>
      <c r="E43" s="31"/>
      <c r="F43" s="31"/>
      <c r="G43" s="12"/>
    </row>
    <row r="44" customFormat="false" ht="15" hidden="false" customHeight="false" outlineLevel="0" collapsed="false">
      <c r="A44" s="6" t="s">
        <v>471</v>
      </c>
      <c r="B44" s="8" t="str">
        <f aca="false">INDEX(Material_Master!$D$2:$D$1000,MATCH(A44,Material_Master!$A$2:$A$1000,0))</f>
        <v>Shuttering release oil</v>
      </c>
      <c r="C44" s="8" t="str">
        <f aca="false">INDEX(Material_Master!$F$2:$F$1000,MATCH(A44,Material_Master!$A$2:$A$1000,0))</f>
        <v>L</v>
      </c>
      <c r="D44" s="30"/>
      <c r="E44" s="31"/>
      <c r="F44" s="31"/>
      <c r="G44" s="12"/>
    </row>
    <row r="45" customFormat="false" ht="15" hidden="false" customHeight="false" outlineLevel="0" collapsed="false">
      <c r="A45" s="6" t="s">
        <v>479</v>
      </c>
      <c r="B45" s="8" t="str">
        <f aca="false">INDEX(Material_Master!$D$2:$D$1000,MATCH(A45,Material_Master!$A$2:$A$1000,0))</f>
        <v>Scaffolding (hire)</v>
      </c>
      <c r="C45" s="8" t="str">
        <f aca="false">INDEX(Material_Master!$F$2:$F$1000,MATCH(A45,Material_Master!$A$2:$A$1000,0))</f>
        <v>sft</v>
      </c>
      <c r="D45" s="30"/>
      <c r="E45" s="31"/>
      <c r="F45" s="31"/>
      <c r="G45" s="12"/>
    </row>
    <row r="46" customFormat="false" ht="15" hidden="false" customHeight="false" outlineLevel="0" collapsed="false">
      <c r="A46" s="6" t="s">
        <v>488</v>
      </c>
      <c r="B46" s="8" t="str">
        <f aca="false">INDEX(Material_Master!$D$2:$D$1000,MATCH(A46,Material_Master!$A$2:$A$1000,0))</f>
        <v>Polythene sheet over shuttering</v>
      </c>
      <c r="C46" s="8" t="str">
        <f aca="false">INDEX(Material_Master!$F$2:$F$1000,MATCH(A46,Material_Master!$A$2:$A$1000,0))</f>
        <v>sft</v>
      </c>
      <c r="D46" s="30"/>
      <c r="E46" s="31"/>
      <c r="F46" s="31"/>
      <c r="G46" s="12"/>
    </row>
    <row r="47" customFormat="false" ht="15" hidden="false" customHeight="false" outlineLevel="0" collapsed="false">
      <c r="A47" s="6" t="s">
        <v>492</v>
      </c>
      <c r="B47" s="8" t="str">
        <f aca="false">INDEX(Material_Master!$D$2:$D$1000,MATCH(A47,Material_Master!$A$2:$A$1000,0))</f>
        <v>Burnt clay brick Class A ('Awwal') 9x4.5x3in nominal</v>
      </c>
      <c r="C47" s="8" t="str">
        <f aca="false">INDEX(Material_Master!$F$2:$F$1000,MATCH(A47,Material_Master!$A$2:$A$1000,0))</f>
        <v>Nos</v>
      </c>
      <c r="D47" s="30"/>
      <c r="E47" s="31"/>
      <c r="F47" s="31"/>
      <c r="G47" s="12"/>
      <c r="H47" s="6" t="s">
        <v>4800</v>
      </c>
      <c r="I47" s="6" t="s">
        <v>4797</v>
      </c>
    </row>
    <row r="48" customFormat="false" ht="15" hidden="false" customHeight="false" outlineLevel="0" collapsed="false">
      <c r="A48" s="6" t="s">
        <v>506</v>
      </c>
      <c r="B48" s="8" t="str">
        <f aca="false">INDEX(Material_Master!$D$2:$D$1000,MATCH(A48,Material_Master!$A$2:$A$1000,0))</f>
        <v>Burnt clay brick Class B ('Doem') / over-burnt</v>
      </c>
      <c r="C48" s="8" t="str">
        <f aca="false">INDEX(Material_Master!$F$2:$F$1000,MATCH(A48,Material_Master!$A$2:$A$1000,0))</f>
        <v>Nos</v>
      </c>
      <c r="D48" s="30"/>
      <c r="E48" s="31"/>
      <c r="F48" s="31"/>
      <c r="G48" s="12"/>
    </row>
    <row r="49" customFormat="false" ht="15" hidden="false" customHeight="false" outlineLevel="0" collapsed="false">
      <c r="A49" s="6" t="s">
        <v>514</v>
      </c>
      <c r="B49" s="8" t="str">
        <f aca="false">INDEX(Material_Master!$D$2:$D$1000,MATCH(A49,Material_Master!$A$2:$A$1000,0))</f>
        <v>Burnt clay roof tiles 9x4.5x1.5in</v>
      </c>
      <c r="C49" s="8" t="str">
        <f aca="false">INDEX(Material_Master!$F$2:$F$1000,MATCH(A49,Material_Master!$A$2:$A$1000,0))</f>
        <v>Nos</v>
      </c>
      <c r="D49" s="30"/>
      <c r="E49" s="31"/>
      <c r="F49" s="31"/>
      <c r="G49" s="12"/>
    </row>
    <row r="50" customFormat="false" ht="15" hidden="false" customHeight="false" outlineLevel="0" collapsed="false">
      <c r="A50" s="6" t="s">
        <v>525</v>
      </c>
      <c r="B50" s="8" t="str">
        <f aca="false">INDEX(Material_Master!$D$2:$D$1000,MATCH(A50,Material_Master!$A$2:$A$1000,0))</f>
        <v>Hollow concrete block 8x8x16in (and 6in/4in)</v>
      </c>
      <c r="C50" s="8" t="str">
        <f aca="false">INDEX(Material_Master!$F$2:$F$1000,MATCH(A50,Material_Master!$A$2:$A$1000,0))</f>
        <v>Nos</v>
      </c>
      <c r="D50" s="30"/>
      <c r="E50" s="31"/>
      <c r="F50" s="31"/>
      <c r="G50" s="12"/>
    </row>
    <row r="51" customFormat="false" ht="15" hidden="false" customHeight="false" outlineLevel="0" collapsed="false">
      <c r="A51" s="6" t="s">
        <v>536</v>
      </c>
      <c r="B51" s="8" t="str">
        <f aca="false">INDEX(Material_Master!$D$2:$D$1000,MATCH(A51,Material_Master!$A$2:$A$1000,0))</f>
        <v>AAC lightweight blocks</v>
      </c>
      <c r="C51" s="8" t="str">
        <f aca="false">INDEX(Material_Master!$F$2:$F$1000,MATCH(A51,Material_Master!$A$2:$A$1000,0))</f>
        <v>cft</v>
      </c>
      <c r="D51" s="30"/>
      <c r="E51" s="31"/>
      <c r="F51" s="31"/>
      <c r="G51" s="12"/>
    </row>
    <row r="52" customFormat="false" ht="15" hidden="false" customHeight="false" outlineLevel="0" collapsed="false">
      <c r="A52" s="6" t="s">
        <v>544</v>
      </c>
      <c r="B52" s="8" t="str">
        <f aca="false">INDEX(Material_Master!$D$2:$D$1000,MATCH(A52,Material_Master!$A$2:$A$1000,0))</f>
        <v>Thin-bed block adhesive</v>
      </c>
      <c r="C52" s="8" t="str">
        <f aca="false">INDEX(Material_Master!$F$2:$F$1000,MATCH(A52,Material_Master!$A$2:$A$1000,0))</f>
        <v>bag</v>
      </c>
      <c r="D52" s="30"/>
      <c r="E52" s="31"/>
      <c r="F52" s="31"/>
      <c r="G52" s="12"/>
    </row>
    <row r="53" customFormat="false" ht="15" hidden="false" customHeight="false" outlineLevel="0" collapsed="false">
      <c r="A53" s="6" t="s">
        <v>553</v>
      </c>
      <c r="B53" s="8" t="str">
        <f aca="false">INDEX(Material_Master!$D$2:$D$1000,MATCH(A53,Material_Master!$A$2:$A$1000,0))</f>
        <v>Hoop iron / GI strip bond</v>
      </c>
      <c r="C53" s="8" t="str">
        <f aca="false">INDEX(Material_Master!$F$2:$F$1000,MATCH(A53,Material_Master!$A$2:$A$1000,0))</f>
        <v>kg</v>
      </c>
      <c r="D53" s="30"/>
      <c r="E53" s="31"/>
      <c r="F53" s="31"/>
      <c r="G53" s="12"/>
    </row>
    <row r="54" customFormat="false" ht="15" hidden="false" customHeight="false" outlineLevel="0" collapsed="false">
      <c r="A54" s="6" t="s">
        <v>560</v>
      </c>
      <c r="B54" s="8" t="str">
        <f aca="false">INDEX(Material_Master!$D$2:$D$1000,MATCH(A54,Material_Master!$A$2:$A$1000,0))</f>
        <v>Brick jali / ventilation blocks</v>
      </c>
      <c r="C54" s="8" t="str">
        <f aca="false">INDEX(Material_Master!$F$2:$F$1000,MATCH(A54,Material_Master!$A$2:$A$1000,0))</f>
        <v>Nos</v>
      </c>
      <c r="D54" s="30"/>
      <c r="E54" s="31"/>
      <c r="F54" s="31"/>
      <c r="G54" s="12"/>
    </row>
    <row r="55" customFormat="false" ht="15" hidden="false" customHeight="false" outlineLevel="0" collapsed="false">
      <c r="A55" s="6" t="s">
        <v>569</v>
      </c>
      <c r="B55" s="8" t="str">
        <f aca="false">INDEX(Material_Master!$D$2:$D$1000,MATCH(A55,Material_Master!$A$2:$A$1000,0))</f>
        <v>Facing bricks / brick cladding tiles</v>
      </c>
      <c r="C55" s="8" t="str">
        <f aca="false">INDEX(Material_Master!$F$2:$F$1000,MATCH(A55,Material_Master!$A$2:$A$1000,0))</f>
        <v>sft</v>
      </c>
      <c r="D55" s="30"/>
      <c r="E55" s="31"/>
      <c r="F55" s="31"/>
      <c r="G55" s="12"/>
    </row>
    <row r="56" customFormat="false" ht="15" hidden="false" customHeight="false" outlineLevel="0" collapsed="false">
      <c r="A56" s="6" t="s">
        <v>579</v>
      </c>
      <c r="B56" s="8" t="str">
        <f aca="false">INDEX(Material_Master!$D$2:$D$1000,MATCH(A56,Material_Master!$A$2:$A$1000,0))</f>
        <v>Natural stone cladding</v>
      </c>
      <c r="C56" s="8" t="str">
        <f aca="false">INDEX(Material_Master!$F$2:$F$1000,MATCH(A56,Material_Master!$A$2:$A$1000,0))</f>
        <v>sft</v>
      </c>
      <c r="D56" s="30"/>
      <c r="E56" s="31"/>
      <c r="F56" s="31"/>
      <c r="G56" s="12"/>
    </row>
    <row r="57" customFormat="false" ht="15" hidden="false" customHeight="false" outlineLevel="0" collapsed="false">
      <c r="A57" s="6" t="s">
        <v>586</v>
      </c>
      <c r="B57" s="8" t="str">
        <f aca="false">INDEX(Material_Master!$D$2:$D$1000,MATCH(A57,Material_Master!$A$2:$A$1000,0))</f>
        <v>Galvanised chicken wire mesh strip (6-9in)</v>
      </c>
      <c r="C57" s="8" t="str">
        <f aca="false">INDEX(Material_Master!$F$2:$F$1000,MATCH(A57,Material_Master!$A$2:$A$1000,0))</f>
        <v>rft</v>
      </c>
      <c r="D57" s="30"/>
      <c r="E57" s="31"/>
      <c r="F57" s="31"/>
      <c r="G57" s="12"/>
    </row>
    <row r="58" customFormat="false" ht="15" hidden="false" customHeight="false" outlineLevel="0" collapsed="false">
      <c r="A58" s="6" t="s">
        <v>594</v>
      </c>
      <c r="B58" s="8" t="str">
        <f aca="false">INDEX(Material_Master!$D$2:$D$1000,MATCH(A58,Material_Master!$A$2:$A$1000,0))</f>
        <v>Parapet/boundary coping (precast or in-situ)</v>
      </c>
      <c r="C58" s="8" t="str">
        <f aca="false">INDEX(Material_Master!$F$2:$F$1000,MATCH(A58,Material_Master!$A$2:$A$1000,0))</f>
        <v>rft</v>
      </c>
      <c r="D58" s="30"/>
      <c r="E58" s="31"/>
      <c r="F58" s="31"/>
      <c r="G58" s="12"/>
    </row>
    <row r="59" customFormat="false" ht="15" hidden="false" customHeight="false" outlineLevel="0" collapsed="false">
      <c r="A59" s="6" t="s">
        <v>602</v>
      </c>
      <c r="B59" s="8" t="str">
        <f aca="false">INDEX(Material_Master!$D$2:$D$1000,MATCH(A59,Material_Master!$A$2:$A$1000,0))</f>
        <v>Bitumen (hot applied)</v>
      </c>
      <c r="C59" s="8" t="str">
        <f aca="false">INDEX(Material_Master!$F$2:$F$1000,MATCH(A59,Material_Master!$A$2:$A$1000,0))</f>
        <v>kg</v>
      </c>
      <c r="D59" s="30"/>
      <c r="E59" s="31"/>
      <c r="F59" s="31"/>
      <c r="G59" s="12"/>
    </row>
    <row r="60" customFormat="false" ht="15" hidden="false" customHeight="false" outlineLevel="0" collapsed="false">
      <c r="A60" s="6" t="s">
        <v>617</v>
      </c>
      <c r="B60" s="8" t="str">
        <f aca="false">INDEX(Material_Master!$D$2:$D$1000,MATCH(A60,Material_Master!$A$2:$A$1000,0))</f>
        <v>Bitumen primer (cut-back)</v>
      </c>
      <c r="C60" s="8" t="str">
        <f aca="false">INDEX(Material_Master!$F$2:$F$1000,MATCH(A60,Material_Master!$A$2:$A$1000,0))</f>
        <v>gal</v>
      </c>
      <c r="D60" s="30"/>
      <c r="E60" s="31"/>
      <c r="F60" s="31"/>
      <c r="G60" s="12"/>
    </row>
    <row r="61" customFormat="false" ht="15" hidden="false" customHeight="false" outlineLevel="0" collapsed="false">
      <c r="A61" s="6" t="s">
        <v>624</v>
      </c>
      <c r="B61" s="8" t="str">
        <f aca="false">INDEX(Material_Master!$D$2:$D$1000,MATCH(A61,Material_Master!$A$2:$A$1000,0))</f>
        <v>Polythene sheet (high-density)</v>
      </c>
      <c r="C61" s="8" t="str">
        <f aca="false">INDEX(Material_Master!$F$2:$F$1000,MATCH(A61,Material_Master!$A$2:$A$1000,0))</f>
        <v>sft</v>
      </c>
      <c r="D61" s="30"/>
      <c r="E61" s="31"/>
      <c r="F61" s="31"/>
      <c r="G61" s="12"/>
    </row>
    <row r="62" customFormat="false" ht="15" hidden="false" customHeight="false" outlineLevel="0" collapsed="false">
      <c r="A62" s="6" t="s">
        <v>630</v>
      </c>
      <c r="B62" s="8" t="str">
        <f aca="false">INDEX(Material_Master!$D$2:$D$1000,MATCH(A62,Material_Master!$A$2:$A$1000,0))</f>
        <v>Two-component cementitious waterproof coating</v>
      </c>
      <c r="C62" s="8" t="str">
        <f aca="false">INDEX(Material_Master!$F$2:$F$1000,MATCH(A62,Material_Master!$A$2:$A$1000,0))</f>
        <v>kg</v>
      </c>
      <c r="D62" s="30"/>
      <c r="E62" s="31"/>
      <c r="F62" s="31"/>
      <c r="G62" s="12"/>
    </row>
    <row r="63" customFormat="false" ht="15" hidden="false" customHeight="false" outlineLevel="0" collapsed="false">
      <c r="A63" s="6" t="s">
        <v>642</v>
      </c>
      <c r="B63" s="8" t="str">
        <f aca="false">INDEX(Material_Master!$D$2:$D$1000,MATCH(A63,Material_Master!$A$2:$A$1000,0))</f>
        <v>APP/SBS modified bitumen membrane 3-4 mm (torch-on)</v>
      </c>
      <c r="C63" s="8" t="str">
        <f aca="false">INDEX(Material_Master!$F$2:$F$1000,MATCH(A63,Material_Master!$A$2:$A$1000,0))</f>
        <v>sft</v>
      </c>
      <c r="D63" s="30"/>
      <c r="E63" s="31"/>
      <c r="F63" s="31"/>
      <c r="G63" s="12"/>
    </row>
    <row r="64" customFormat="false" ht="15" hidden="false" customHeight="false" outlineLevel="0" collapsed="false">
      <c r="A64" s="6" t="s">
        <v>650</v>
      </c>
      <c r="B64" s="8" t="str">
        <f aca="false">INDEX(Material_Master!$D$2:$D$1000,MATCH(A64,Material_Master!$A$2:$A$1000,0))</f>
        <v>Liquid PU / acrylic elastomeric roof coating</v>
      </c>
      <c r="C64" s="8" t="str">
        <f aca="false">INDEX(Material_Master!$F$2:$F$1000,MATCH(A64,Material_Master!$A$2:$A$1000,0))</f>
        <v>L</v>
      </c>
      <c r="D64" s="30"/>
      <c r="E64" s="31"/>
      <c r="F64" s="31"/>
      <c r="G64" s="12"/>
    </row>
    <row r="65" customFormat="false" ht="15" hidden="false" customHeight="false" outlineLevel="0" collapsed="false">
      <c r="A65" s="6" t="s">
        <v>657</v>
      </c>
      <c r="B65" s="8" t="str">
        <f aca="false">INDEX(Material_Master!$D$2:$D$1000,MATCH(A65,Material_Master!$A$2:$A$1000,0))</f>
        <v>Integral waterproofing compound (powder/liquid)</v>
      </c>
      <c r="C65" s="8" t="str">
        <f aca="false">INDEX(Material_Master!$F$2:$F$1000,MATCH(A65,Material_Master!$A$2:$A$1000,0))</f>
        <v>kg</v>
      </c>
      <c r="D65" s="30"/>
      <c r="E65" s="31"/>
      <c r="F65" s="31"/>
      <c r="G65" s="12"/>
    </row>
    <row r="66" customFormat="false" ht="15" hidden="false" customHeight="false" outlineLevel="0" collapsed="false">
      <c r="A66" s="6" t="s">
        <v>666</v>
      </c>
      <c r="B66" s="8" t="str">
        <f aca="false">INDEX(Material_Master!$D$2:$D$1000,MATCH(A66,Material_Master!$A$2:$A$1000,0))</f>
        <v>Roof thermal insulation board (EPS/XPS 1-2in)</v>
      </c>
      <c r="C66" s="8" t="str">
        <f aca="false">INDEX(Material_Master!$F$2:$F$1000,MATCH(A66,Material_Master!$A$2:$A$1000,0))</f>
        <v>sft</v>
      </c>
      <c r="D66" s="30"/>
      <c r="E66" s="31"/>
      <c r="F66" s="31"/>
      <c r="G66" s="12"/>
    </row>
    <row r="67" customFormat="false" ht="15" hidden="false" customHeight="false" outlineLevel="0" collapsed="false">
      <c r="A67" s="6" t="s">
        <v>672</v>
      </c>
      <c r="B67" s="8" t="str">
        <f aca="false">INDEX(Material_Master!$D$2:$D$1000,MATCH(A67,Material_Master!$A$2:$A$1000,0))</f>
        <v>Earth for roof insulation &amp; mud plaster</v>
      </c>
      <c r="C67" s="8" t="str">
        <f aca="false">INDEX(Material_Master!$F$2:$F$1000,MATCH(A67,Material_Master!$A$2:$A$1000,0))</f>
        <v>cft</v>
      </c>
      <c r="D67" s="30"/>
      <c r="E67" s="31"/>
      <c r="F67" s="31"/>
      <c r="G67" s="12"/>
    </row>
    <row r="68" customFormat="false" ht="15" hidden="false" customHeight="false" outlineLevel="0" collapsed="false">
      <c r="A68" s="6" t="s">
        <v>678</v>
      </c>
      <c r="B68" s="8" t="str">
        <f aca="false">INDEX(Material_Master!$D$2:$D$1000,MATCH(A68,Material_Master!$A$2:$A$1000,0))</f>
        <v>Straw (bhoosa) for mud plaster</v>
      </c>
      <c r="C68" s="8" t="str">
        <f aca="false">INDEX(Material_Master!$F$2:$F$1000,MATCH(A68,Material_Master!$A$2:$A$1000,0))</f>
        <v>kg</v>
      </c>
      <c r="D68" s="30"/>
      <c r="E68" s="31"/>
      <c r="F68" s="31"/>
      <c r="G68" s="12"/>
    </row>
    <row r="69" customFormat="false" ht="15" hidden="false" customHeight="false" outlineLevel="0" collapsed="false">
      <c r="A69" s="6" t="s">
        <v>682</v>
      </c>
      <c r="B69" s="8" t="str">
        <f aca="false">INDEX(Material_Master!$D$2:$D$1000,MATCH(A69,Material_Master!$A$2:$A$1000,0))</f>
        <v>PVC water stop 6in</v>
      </c>
      <c r="C69" s="8" t="str">
        <f aca="false">INDEX(Material_Master!$F$2:$F$1000,MATCH(A69,Material_Master!$A$2:$A$1000,0))</f>
        <v>rft</v>
      </c>
      <c r="D69" s="30"/>
      <c r="E69" s="31"/>
      <c r="F69" s="31"/>
      <c r="G69" s="12"/>
    </row>
    <row r="70" customFormat="false" ht="15" hidden="false" customHeight="false" outlineLevel="0" collapsed="false">
      <c r="A70" s="6" t="s">
        <v>692</v>
      </c>
      <c r="B70" s="8" t="str">
        <f aca="false">INDEX(Material_Master!$D$2:$D$1000,MATCH(A70,Material_Master!$A$2:$A$1000,0))</f>
        <v>PU / polysulphide sealant</v>
      </c>
      <c r="C70" s="8" t="str">
        <f aca="false">INDEX(Material_Master!$F$2:$F$1000,MATCH(A70,Material_Master!$A$2:$A$1000,0))</f>
        <v>tube</v>
      </c>
      <c r="D70" s="30"/>
      <c r="E70" s="31"/>
      <c r="F70" s="31"/>
      <c r="G70" s="12"/>
    </row>
    <row r="71" customFormat="false" ht="15" hidden="false" customHeight="false" outlineLevel="0" collapsed="false">
      <c r="A71" s="6" t="s">
        <v>700</v>
      </c>
      <c r="B71" s="8" t="str">
        <f aca="false">INDEX(Material_Master!$D$2:$D$1000,MATCH(A71,Material_Master!$A$2:$A$1000,0))</f>
        <v>Expansion joint filler board</v>
      </c>
      <c r="C71" s="8" t="str">
        <f aca="false">INDEX(Material_Master!$F$2:$F$1000,MATCH(A71,Material_Master!$A$2:$A$1000,0))</f>
        <v>rft</v>
      </c>
      <c r="D71" s="30"/>
      <c r="E71" s="31"/>
      <c r="F71" s="31"/>
      <c r="G71" s="12"/>
    </row>
    <row r="72" customFormat="false" ht="15" hidden="false" customHeight="false" outlineLevel="0" collapsed="false">
      <c r="A72" s="6" t="s">
        <v>707</v>
      </c>
      <c r="B72" s="8" t="str">
        <f aca="false">INDEX(Material_Master!$D$2:$D$1000,MATCH(A72,Material_Master!$A$2:$A$1000,0))</f>
        <v>Fibreglass mesh for waterproofing corners</v>
      </c>
      <c r="C72" s="8" t="str">
        <f aca="false">INDEX(Material_Master!$F$2:$F$1000,MATCH(A72,Material_Master!$A$2:$A$1000,0))</f>
        <v>rft</v>
      </c>
      <c r="D72" s="30"/>
      <c r="E72" s="31"/>
      <c r="F72" s="31"/>
      <c r="G72" s="12"/>
    </row>
    <row r="73" customFormat="false" ht="15" hidden="false" customHeight="false" outlineLevel="0" collapsed="false">
      <c r="A73" s="6" t="s">
        <v>714</v>
      </c>
      <c r="B73" s="8" t="str">
        <f aca="false">INDEX(Material_Master!$D$2:$D$1000,MATCH(A73,Material_Master!$A$2:$A$1000,0))</f>
        <v>Corner beads (PVC/GI)</v>
      </c>
      <c r="C73" s="8" t="str">
        <f aca="false">INDEX(Material_Master!$F$2:$F$1000,MATCH(A73,Material_Master!$A$2:$A$1000,0))</f>
        <v>rft</v>
      </c>
      <c r="D73" s="30"/>
      <c r="E73" s="31"/>
      <c r="F73" s="31"/>
      <c r="G73" s="12"/>
    </row>
    <row r="74" customFormat="false" ht="15" hidden="false" customHeight="false" outlineLevel="0" collapsed="false">
      <c r="A74" s="6" t="s">
        <v>724</v>
      </c>
      <c r="B74" s="8" t="str">
        <f aca="false">INDEX(Material_Master!$D$2:$D$1000,MATCH(A74,Material_Master!$A$2:$A$1000,0))</f>
        <v>Expanded metal lath (EML)</v>
      </c>
      <c r="C74" s="8" t="str">
        <f aca="false">INDEX(Material_Master!$F$2:$F$1000,MATCH(A74,Material_Master!$A$2:$A$1000,0))</f>
        <v>rft</v>
      </c>
      <c r="D74" s="30"/>
      <c r="E74" s="31"/>
      <c r="F74" s="31"/>
      <c r="G74" s="12"/>
    </row>
    <row r="75" customFormat="false" ht="15" hidden="false" customHeight="false" outlineLevel="0" collapsed="false">
      <c r="A75" s="6" t="s">
        <v>731</v>
      </c>
      <c r="B75" s="8" t="str">
        <f aca="false">INDEX(Material_Master!$D$2:$D$1000,MATCH(A75,Material_Master!$A$2:$A$1000,0))</f>
        <v>Gypsum plaster (internal alternative)</v>
      </c>
      <c r="C75" s="8" t="str">
        <f aca="false">INDEX(Material_Master!$F$2:$F$1000,MATCH(A75,Material_Master!$A$2:$A$1000,0))</f>
        <v>bag</v>
      </c>
      <c r="D75" s="30"/>
      <c r="E75" s="31"/>
      <c r="F75" s="31"/>
      <c r="G75" s="12"/>
    </row>
    <row r="76" customFormat="false" ht="15" hidden="false" customHeight="false" outlineLevel="0" collapsed="false">
      <c r="A76" s="6" t="s">
        <v>739</v>
      </c>
      <c r="B76" s="8" t="str">
        <f aca="false">INDEX(Material_Master!$D$2:$D$1000,MATCH(A76,Material_Master!$A$2:$A$1000,0))</f>
        <v>Plaster of Paris (POP)</v>
      </c>
      <c r="C76" s="8" t="str">
        <f aca="false">INDEX(Material_Master!$F$2:$F$1000,MATCH(A76,Material_Master!$A$2:$A$1000,0))</f>
        <v>bag</v>
      </c>
      <c r="D76" s="30"/>
      <c r="E76" s="31"/>
      <c r="F76" s="31"/>
      <c r="G76" s="12"/>
    </row>
    <row r="77" customFormat="false" ht="15" hidden="false" customHeight="false" outlineLevel="0" collapsed="false">
      <c r="A77" s="6" t="s">
        <v>745</v>
      </c>
      <c r="B77" s="8" t="str">
        <f aca="false">INDEX(Material_Master!$D$2:$D$1000,MATCH(A77,Material_Master!$A$2:$A$1000,0))</f>
        <v>Polypropylene micro-fibres</v>
      </c>
      <c r="C77" s="8" t="str">
        <f aca="false">INDEX(Material_Master!$F$2:$F$1000,MATCH(A77,Material_Master!$A$2:$A$1000,0))</f>
        <v>kg</v>
      </c>
      <c r="D77" s="30"/>
      <c r="E77" s="31"/>
      <c r="F77" s="31"/>
      <c r="G77" s="12"/>
    </row>
    <row r="78" customFormat="false" ht="15" hidden="false" customHeight="false" outlineLevel="0" collapsed="false">
      <c r="A78" s="6" t="s">
        <v>753</v>
      </c>
      <c r="B78" s="8" t="str">
        <f aca="false">INDEX(Material_Master!$D$2:$D$1000,MATCH(A78,Material_Master!$A$2:$A$1000,0))</f>
        <v>Floor hardener (dry-shake)</v>
      </c>
      <c r="C78" s="8" t="str">
        <f aca="false">INDEX(Material_Master!$F$2:$F$1000,MATCH(A78,Material_Master!$A$2:$A$1000,0))</f>
        <v>kg</v>
      </c>
      <c r="D78" s="30"/>
      <c r="E78" s="31"/>
      <c r="F78" s="31"/>
      <c r="G78" s="12"/>
    </row>
    <row r="79" customFormat="false" ht="15" hidden="false" customHeight="false" outlineLevel="0" collapsed="false">
      <c r="A79" s="6" t="s">
        <v>761</v>
      </c>
      <c r="B79" s="8" t="str">
        <f aca="false">INDEX(Material_Master!$D$2:$D$1000,MATCH(A79,Material_Master!$A$2:$A$1000,0))</f>
        <v>Porcelain floor tiles 24x24in (600x600mm)</v>
      </c>
      <c r="C79" s="8" t="str">
        <f aca="false">INDEX(Material_Master!$F$2:$F$1000,MATCH(A79,Material_Master!$A$2:$A$1000,0))</f>
        <v>sft</v>
      </c>
      <c r="D79" s="30"/>
      <c r="E79" s="31"/>
      <c r="F79" s="31"/>
      <c r="G79" s="12"/>
    </row>
    <row r="80" customFormat="false" ht="15" hidden="false" customHeight="false" outlineLevel="0" collapsed="false">
      <c r="A80" s="6" t="s">
        <v>773</v>
      </c>
      <c r="B80" s="8" t="str">
        <f aca="false">INDEX(Material_Master!$D$2:$D$1000,MATCH(A80,Material_Master!$A$2:$A$1000,0))</f>
        <v>Ceramic anti-skid floor tiles 12x12 / 16x16in</v>
      </c>
      <c r="C80" s="8" t="str">
        <f aca="false">INDEX(Material_Master!$F$2:$F$1000,MATCH(A80,Material_Master!$A$2:$A$1000,0))</f>
        <v>sft</v>
      </c>
      <c r="D80" s="30"/>
      <c r="E80" s="31"/>
      <c r="F80" s="31"/>
      <c r="G80" s="12"/>
    </row>
    <row r="81" customFormat="false" ht="15" hidden="false" customHeight="false" outlineLevel="0" collapsed="false">
      <c r="A81" s="6" t="s">
        <v>782</v>
      </c>
      <c r="B81" s="8" t="str">
        <f aca="false">INDEX(Material_Master!$D$2:$D$1000,MATCH(A81,Material_Master!$A$2:$A$1000,0))</f>
        <v>Ceramic/porcelain wall tiles 12x24in</v>
      </c>
      <c r="C81" s="8" t="str">
        <f aca="false">INDEX(Material_Master!$F$2:$F$1000,MATCH(A81,Material_Master!$A$2:$A$1000,0))</f>
        <v>sft</v>
      </c>
      <c r="D81" s="30"/>
      <c r="E81" s="31"/>
      <c r="F81" s="31"/>
      <c r="G81" s="12"/>
    </row>
    <row r="82" customFormat="false" ht="15" hidden="false" customHeight="false" outlineLevel="0" collapsed="false">
      <c r="A82" s="6" t="s">
        <v>791</v>
      </c>
      <c r="B82" s="8" t="str">
        <f aca="false">INDEX(Material_Master!$D$2:$D$1000,MATCH(A82,Material_Master!$A$2:$A$1000,0))</f>
        <v>Marble flooring slabs/tiles 3/4in</v>
      </c>
      <c r="C82" s="8" t="str">
        <f aca="false">INDEX(Material_Master!$F$2:$F$1000,MATCH(A82,Material_Master!$A$2:$A$1000,0))</f>
        <v>sft</v>
      </c>
      <c r="D82" s="30"/>
      <c r="E82" s="31"/>
      <c r="F82" s="31"/>
      <c r="G82" s="12"/>
    </row>
    <row r="83" customFormat="false" ht="15" hidden="false" customHeight="false" outlineLevel="0" collapsed="false">
      <c r="A83" s="6" t="s">
        <v>796</v>
      </c>
      <c r="B83" s="8" t="str">
        <f aca="false">INDEX(Material_Master!$D$2:$D$1000,MATCH(A83,Material_Master!$A$2:$A$1000,0))</f>
        <v>Granite slab 3/4in</v>
      </c>
      <c r="C83" s="8" t="str">
        <f aca="false">INDEX(Material_Master!$F$2:$F$1000,MATCH(A83,Material_Master!$A$2:$A$1000,0))</f>
        <v>sft</v>
      </c>
      <c r="D83" s="30"/>
      <c r="E83" s="31"/>
      <c r="F83" s="31"/>
      <c r="G83" s="12"/>
    </row>
    <row r="84" customFormat="false" ht="15" hidden="false" customHeight="false" outlineLevel="0" collapsed="false">
      <c r="A84" s="6" t="s">
        <v>804</v>
      </c>
      <c r="B84" s="8" t="str">
        <f aca="false">INDEX(Material_Master!$D$2:$D$1000,MATCH(A84,Material_Master!$A$2:$A$1000,0))</f>
        <v>Marble/granite for stair treads &amp; risers</v>
      </c>
      <c r="C84" s="8" t="str">
        <f aca="false">INDEX(Material_Master!$F$2:$F$1000,MATCH(A84,Material_Master!$A$2:$A$1000,0))</f>
        <v>sft</v>
      </c>
      <c r="D84" s="30"/>
      <c r="E84" s="31"/>
      <c r="F84" s="31"/>
      <c r="G84" s="12"/>
    </row>
    <row r="85" customFormat="false" ht="15" hidden="false" customHeight="false" outlineLevel="0" collapsed="false">
      <c r="A85" s="6" t="s">
        <v>813</v>
      </c>
      <c r="B85" s="8" t="str">
        <f aca="false">INDEX(Material_Master!$D$2:$D$1000,MATCH(A85,Material_Master!$A$2:$A$1000,0))</f>
        <v>Skirting 4in (tile cut / marble strip)</v>
      </c>
      <c r="C85" s="8" t="str">
        <f aca="false">INDEX(Material_Master!$F$2:$F$1000,MATCH(A85,Material_Master!$A$2:$A$1000,0))</f>
        <v>sft</v>
      </c>
      <c r="D85" s="30"/>
      <c r="E85" s="31"/>
      <c r="F85" s="31"/>
      <c r="G85" s="12"/>
    </row>
    <row r="86" customFormat="false" ht="15" hidden="false" customHeight="false" outlineLevel="0" collapsed="false">
      <c r="A86" s="6" t="s">
        <v>821</v>
      </c>
      <c r="B86" s="8" t="str">
        <f aca="false">INDEX(Material_Master!$D$2:$D$1000,MATCH(A86,Material_Master!$A$2:$A$1000,0))</f>
        <v>Marble window sills &amp; door thresholds</v>
      </c>
      <c r="C86" s="8" t="str">
        <f aca="false">INDEX(Material_Master!$F$2:$F$1000,MATCH(A86,Material_Master!$A$2:$A$1000,0))</f>
        <v>sft</v>
      </c>
      <c r="D86" s="30"/>
      <c r="E86" s="31"/>
      <c r="F86" s="31"/>
      <c r="G86" s="12"/>
    </row>
    <row r="87" customFormat="false" ht="15" hidden="false" customHeight="false" outlineLevel="0" collapsed="false">
      <c r="A87" s="6" t="s">
        <v>830</v>
      </c>
      <c r="B87" s="8" t="str">
        <f aca="false">INDEX(Material_Master!$D$2:$D$1000,MATCH(A87,Material_Master!$A$2:$A$1000,0))</f>
        <v>Cement-based tile adhesive (C1/C2)</v>
      </c>
      <c r="C87" s="8" t="str">
        <f aca="false">INDEX(Material_Master!$F$2:$F$1000,MATCH(A87,Material_Master!$A$2:$A$1000,0))</f>
        <v>kg</v>
      </c>
      <c r="D87" s="30"/>
      <c r="E87" s="31"/>
      <c r="F87" s="31"/>
      <c r="G87" s="12"/>
    </row>
    <row r="88" customFormat="false" ht="15" hidden="false" customHeight="false" outlineLevel="0" collapsed="false">
      <c r="A88" s="6" t="s">
        <v>840</v>
      </c>
      <c r="B88" s="8" t="str">
        <f aca="false">INDEX(Material_Master!$D$2:$D$1000,MATCH(A88,Material_Master!$A$2:$A$1000,0))</f>
        <v>Tile grout (cementitious / epoxy)</v>
      </c>
      <c r="C88" s="8" t="str">
        <f aca="false">INDEX(Material_Master!$F$2:$F$1000,MATCH(A88,Material_Master!$A$2:$A$1000,0))</f>
        <v>kg</v>
      </c>
      <c r="D88" s="30"/>
      <c r="E88" s="31"/>
      <c r="F88" s="31"/>
      <c r="G88" s="12"/>
    </row>
    <row r="89" customFormat="false" ht="15" hidden="false" customHeight="false" outlineLevel="0" collapsed="false">
      <c r="A89" s="6" t="s">
        <v>850</v>
      </c>
      <c r="B89" s="8" t="str">
        <f aca="false">INDEX(Material_Master!$D$2:$D$1000,MATCH(A89,Material_Master!$A$2:$A$1000,0))</f>
        <v>Tile spacers / levelling clips</v>
      </c>
      <c r="C89" s="8" t="str">
        <f aca="false">INDEX(Material_Master!$F$2:$F$1000,MATCH(A89,Material_Master!$A$2:$A$1000,0))</f>
        <v>Nos</v>
      </c>
      <c r="D89" s="30"/>
      <c r="E89" s="31"/>
      <c r="F89" s="31"/>
      <c r="G89" s="12"/>
    </row>
    <row r="90" customFormat="false" ht="15" hidden="false" customHeight="false" outlineLevel="0" collapsed="false">
      <c r="A90" s="6" t="s">
        <v>854</v>
      </c>
      <c r="B90" s="8" t="str">
        <f aca="false">INDEX(Material_Master!$D$2:$D$1000,MATCH(A90,Material_Master!$A$2:$A$1000,0))</f>
        <v>Tile edge trims (aluminium/PVC)</v>
      </c>
      <c r="C90" s="8" t="str">
        <f aca="false">INDEX(Material_Master!$F$2:$F$1000,MATCH(A90,Material_Master!$A$2:$A$1000,0))</f>
        <v>rft</v>
      </c>
      <c r="D90" s="30"/>
      <c r="E90" s="31"/>
      <c r="F90" s="31"/>
      <c r="G90" s="12"/>
    </row>
    <row r="91" customFormat="false" ht="15" hidden="false" customHeight="false" outlineLevel="0" collapsed="false">
      <c r="A91" s="6" t="s">
        <v>861</v>
      </c>
      <c r="B91" s="8" t="str">
        <f aca="false">INDEX(Material_Master!$D$2:$D$1000,MATCH(A91,Material_Master!$A$2:$A$1000,0))</f>
        <v>Marble grinding &amp; polishing (service + consumables)</v>
      </c>
      <c r="C91" s="8" t="str">
        <f aca="false">INDEX(Material_Master!$F$2:$F$1000,MATCH(A91,Material_Master!$A$2:$A$1000,0))</f>
        <v>sft</v>
      </c>
      <c r="D91" s="30"/>
      <c r="E91" s="31"/>
      <c r="F91" s="31"/>
      <c r="G91" s="12"/>
    </row>
    <row r="92" customFormat="false" ht="15" hidden="false" customHeight="false" outlineLevel="0" collapsed="false">
      <c r="A92" s="6" t="s">
        <v>867</v>
      </c>
      <c r="B92" s="8" t="str">
        <f aca="false">INDEX(Material_Master!$D$2:$D$1000,MATCH(A92,Material_Master!$A$2:$A$1000,0))</f>
        <v>Terrazzo / chips flooring (economy alternative)</v>
      </c>
      <c r="C92" s="8" t="str">
        <f aca="false">INDEX(Material_Master!$F$2:$F$1000,MATCH(A92,Material_Master!$A$2:$A$1000,0))</f>
        <v>sft</v>
      </c>
      <c r="D92" s="30"/>
      <c r="E92" s="31"/>
      <c r="F92" s="31"/>
      <c r="G92" s="12"/>
    </row>
    <row r="93" customFormat="false" ht="22.35" hidden="false" customHeight="false" outlineLevel="0" collapsed="false">
      <c r="A93" s="6" t="s">
        <v>873</v>
      </c>
      <c r="B93" s="8" t="str">
        <f aca="false">INDEX(Material_Master!$D$2:$D$1000,MATCH(A93,Material_Master!$A$2:$A$1000,0))</f>
        <v>Laminate / engineered wood / SPC vinyl flooring + underlay</v>
      </c>
      <c r="C93" s="8" t="str">
        <f aca="false">INDEX(Material_Master!$F$2:$F$1000,MATCH(A93,Material_Master!$A$2:$A$1000,0))</f>
        <v>sft</v>
      </c>
      <c r="D93" s="30"/>
      <c r="E93" s="31"/>
      <c r="F93" s="31"/>
      <c r="G93" s="12"/>
    </row>
    <row r="94" customFormat="false" ht="15" hidden="false" customHeight="false" outlineLevel="0" collapsed="false">
      <c r="A94" s="6" t="s">
        <v>882</v>
      </c>
      <c r="B94" s="8" t="str">
        <f aca="false">INDEX(Material_Master!$D$2:$D$1000,MATCH(A94,Material_Master!$A$2:$A$1000,0))</f>
        <v>Anti-slip stair nosing</v>
      </c>
      <c r="C94" s="8" t="str">
        <f aca="false">INDEX(Material_Master!$F$2:$F$1000,MATCH(A94,Material_Master!$A$2:$A$1000,0))</f>
        <v>rft</v>
      </c>
      <c r="D94" s="30"/>
      <c r="E94" s="31"/>
      <c r="F94" s="31"/>
      <c r="G94" s="12"/>
    </row>
    <row r="95" customFormat="false" ht="15" hidden="false" customHeight="false" outlineLevel="0" collapsed="false">
      <c r="A95" s="6" t="s">
        <v>886</v>
      </c>
      <c r="B95" s="8" t="str">
        <f aca="false">INDEX(Material_Master!$D$2:$D$1000,MATCH(A95,Material_Master!$A$2:$A$1000,0))</f>
        <v>Door frame (chogath) - solid seasoned hardwood</v>
      </c>
      <c r="C95" s="8" t="str">
        <f aca="false">INDEX(Material_Master!$F$2:$F$1000,MATCH(A95,Material_Master!$A$2:$A$1000,0))</f>
        <v>cft</v>
      </c>
      <c r="D95" s="30"/>
      <c r="E95" s="31"/>
      <c r="F95" s="31"/>
      <c r="G95" s="12"/>
    </row>
    <row r="96" customFormat="false" ht="15" hidden="false" customHeight="false" outlineLevel="0" collapsed="false">
      <c r="A96" s="6" t="s">
        <v>898</v>
      </c>
      <c r="B96" s="8" t="str">
        <f aca="false">INDEX(Material_Master!$D$2:$D$1000,MATCH(A96,Material_Master!$A$2:$A$1000,0))</f>
        <v>Solid/semi-solid wood panel door shutter 1.75in</v>
      </c>
      <c r="C96" s="8" t="str">
        <f aca="false">INDEX(Material_Master!$F$2:$F$1000,MATCH(A96,Material_Master!$A$2:$A$1000,0))</f>
        <v>sft</v>
      </c>
      <c r="D96" s="30"/>
      <c r="E96" s="31"/>
      <c r="F96" s="31"/>
      <c r="G96" s="12"/>
    </row>
    <row r="97" customFormat="false" ht="15" hidden="false" customHeight="false" outlineLevel="0" collapsed="false">
      <c r="A97" s="6" t="s">
        <v>907</v>
      </c>
      <c r="B97" s="8" t="str">
        <f aca="false">INDEX(Material_Master!$D$2:$D$1000,MATCH(A97,Material_Master!$A$2:$A$1000,0))</f>
        <v>Flush door shutter (MDF/ply skin, veneer or laminate)</v>
      </c>
      <c r="C97" s="8" t="str">
        <f aca="false">INDEX(Material_Master!$F$2:$F$1000,MATCH(A97,Material_Master!$A$2:$A$1000,0))</f>
        <v>sft</v>
      </c>
      <c r="D97" s="30"/>
      <c r="E97" s="31"/>
      <c r="F97" s="31"/>
      <c r="G97" s="12"/>
    </row>
    <row r="98" customFormat="false" ht="15" hidden="false" customHeight="false" outlineLevel="0" collapsed="false">
      <c r="A98" s="6" t="s">
        <v>914</v>
      </c>
      <c r="B98" s="8" t="str">
        <f aca="false">INDEX(Material_Master!$D$2:$D$1000,MATCH(A98,Material_Master!$A$2:$A$1000,0))</f>
        <v>Bathroom door (WPC/PVC/fibreglass)</v>
      </c>
      <c r="C98" s="8" t="str">
        <f aca="false">INDEX(Material_Master!$F$2:$F$1000,MATCH(A98,Material_Master!$A$2:$A$1000,0))</f>
        <v>Nos</v>
      </c>
      <c r="D98" s="30"/>
      <c r="E98" s="31"/>
      <c r="F98" s="31"/>
      <c r="G98" s="12"/>
    </row>
    <row r="99" customFormat="false" ht="15" hidden="false" customHeight="false" outlineLevel="0" collapsed="false">
      <c r="A99" s="6" t="s">
        <v>921</v>
      </c>
      <c r="B99" s="8" t="str">
        <f aca="false">INDEX(Material_Master!$D$2:$D$1000,MATCH(A99,Material_Master!$A$2:$A$1000,0))</f>
        <v>Main entrance door (solid wood, double leaf)</v>
      </c>
      <c r="C99" s="8" t="str">
        <f aca="false">INDEX(Material_Master!$F$2:$F$1000,MATCH(A99,Material_Master!$A$2:$A$1000,0))</f>
        <v>Nos</v>
      </c>
      <c r="D99" s="30"/>
      <c r="E99" s="31"/>
      <c r="F99" s="31"/>
      <c r="G99" s="12"/>
    </row>
    <row r="100" customFormat="false" ht="15" hidden="false" customHeight="false" outlineLevel="0" collapsed="false">
      <c r="A100" s="6" t="s">
        <v>928</v>
      </c>
      <c r="B100" s="8" t="str">
        <f aca="false">INDEX(Material_Master!$D$2:$D$1000,MATCH(A100,Material_Master!$A$2:$A$1000,0))</f>
        <v>Door hardware set per leaf</v>
      </c>
      <c r="C100" s="8" t="str">
        <f aca="false">INDEX(Material_Master!$F$2:$F$1000,MATCH(A100,Material_Master!$A$2:$A$1000,0))</f>
        <v>set</v>
      </c>
      <c r="D100" s="30"/>
      <c r="E100" s="31"/>
      <c r="F100" s="31"/>
      <c r="G100" s="12"/>
    </row>
    <row r="101" customFormat="false" ht="15" hidden="false" customHeight="false" outlineLevel="0" collapsed="false">
      <c r="A101" s="6" t="s">
        <v>939</v>
      </c>
      <c r="B101" s="8" t="str">
        <f aca="false">INDEX(Material_Master!$D$2:$D$1000,MATCH(A101,Material_Master!$A$2:$A$1000,0))</f>
        <v>Hydraulic door closer</v>
      </c>
      <c r="C101" s="8" t="str">
        <f aca="false">INDEX(Material_Master!$F$2:$F$1000,MATCH(A101,Material_Master!$A$2:$A$1000,0))</f>
        <v>Nos</v>
      </c>
      <c r="D101" s="30"/>
      <c r="E101" s="31"/>
      <c r="F101" s="31"/>
      <c r="G101" s="12"/>
    </row>
    <row r="102" customFormat="false" ht="15" hidden="false" customHeight="false" outlineLevel="0" collapsed="false">
      <c r="A102" s="6" t="s">
        <v>946</v>
      </c>
      <c r="B102" s="8" t="str">
        <f aca="false">INDEX(Material_Master!$D$2:$D$1000,MATCH(A102,Material_Master!$A$2:$A$1000,0))</f>
        <v>Holdfasts / MS clamps for frames</v>
      </c>
      <c r="C102" s="8" t="str">
        <f aca="false">INDEX(Material_Master!$F$2:$F$1000,MATCH(A102,Material_Master!$A$2:$A$1000,0))</f>
        <v>Nos</v>
      </c>
      <c r="D102" s="30"/>
      <c r="E102" s="31"/>
      <c r="F102" s="31"/>
      <c r="G102" s="12"/>
    </row>
    <row r="103" customFormat="false" ht="15" hidden="false" customHeight="false" outlineLevel="0" collapsed="false">
      <c r="A103" s="6" t="s">
        <v>951</v>
      </c>
      <c r="B103" s="8" t="str">
        <f aca="false">INDEX(Material_Master!$D$2:$D$1000,MATCH(A103,Material_Master!$A$2:$A$1000,0))</f>
        <v>Aluminium windows (sliding/casement/fixed)</v>
      </c>
      <c r="C103" s="8" t="str">
        <f aca="false">INDEX(Material_Master!$F$2:$F$1000,MATCH(A103,Material_Master!$A$2:$A$1000,0))</f>
        <v>sft</v>
      </c>
      <c r="D103" s="30"/>
      <c r="E103" s="31"/>
      <c r="F103" s="31"/>
      <c r="G103" s="12"/>
    </row>
    <row r="104" customFormat="false" ht="15" hidden="false" customHeight="false" outlineLevel="0" collapsed="false">
      <c r="A104" s="6" t="s">
        <v>963</v>
      </c>
      <c r="B104" s="8" t="str">
        <f aca="false">INDEX(Material_Master!$D$2:$D$1000,MATCH(A104,Material_Master!$A$2:$A$1000,0))</f>
        <v>uPVC windows (alternative)</v>
      </c>
      <c r="C104" s="8" t="str">
        <f aca="false">INDEX(Material_Master!$F$2:$F$1000,MATCH(A104,Material_Master!$A$2:$A$1000,0))</f>
        <v>sft</v>
      </c>
      <c r="D104" s="30"/>
      <c r="E104" s="31"/>
      <c r="F104" s="31"/>
      <c r="G104" s="12"/>
    </row>
    <row r="105" customFormat="false" ht="15" hidden="false" customHeight="false" outlineLevel="0" collapsed="false">
      <c r="A105" s="6" t="s">
        <v>971</v>
      </c>
      <c r="B105" s="8" t="str">
        <f aca="false">INDEX(Material_Master!$D$2:$D$1000,MATCH(A105,Material_Master!$A$2:$A$1000,0))</f>
        <v>Float glass 5-6 mm (clear/tinted/reflective/frosted)</v>
      </c>
      <c r="C105" s="8" t="str">
        <f aca="false">INDEX(Material_Master!$F$2:$F$1000,MATCH(A105,Material_Master!$A$2:$A$1000,0))</f>
        <v>sft</v>
      </c>
      <c r="D105" s="30"/>
      <c r="E105" s="31"/>
      <c r="F105" s="31"/>
      <c r="G105" s="12"/>
    </row>
    <row r="106" customFormat="false" ht="15" hidden="false" customHeight="false" outlineLevel="0" collapsed="false">
      <c r="A106" s="6" t="s">
        <v>978</v>
      </c>
      <c r="B106" s="8" t="str">
        <f aca="false">INDEX(Material_Master!$D$2:$D$1000,MATCH(A106,Material_Master!$A$2:$A$1000,0))</f>
        <v>Tempered glass 10-12 mm</v>
      </c>
      <c r="C106" s="8" t="str">
        <f aca="false">INDEX(Material_Master!$F$2:$F$1000,MATCH(A106,Material_Master!$A$2:$A$1000,0))</f>
        <v>sft</v>
      </c>
      <c r="D106" s="30"/>
      <c r="E106" s="31"/>
      <c r="F106" s="31"/>
      <c r="G106" s="12"/>
    </row>
    <row r="107" customFormat="false" ht="15" hidden="false" customHeight="false" outlineLevel="0" collapsed="false">
      <c r="A107" s="6" t="s">
        <v>987</v>
      </c>
      <c r="B107" s="8" t="str">
        <f aca="false">INDEX(Material_Master!$D$2:$D$1000,MATCH(A107,Material_Master!$A$2:$A$1000,0))</f>
        <v>MS window grills</v>
      </c>
      <c r="C107" s="8" t="str">
        <f aca="false">INDEX(Material_Master!$F$2:$F$1000,MATCH(A107,Material_Master!$A$2:$A$1000,0))</f>
        <v>kg</v>
      </c>
      <c r="D107" s="30"/>
      <c r="E107" s="31"/>
      <c r="F107" s="31"/>
      <c r="G107" s="12"/>
    </row>
    <row r="108" customFormat="false" ht="15" hidden="false" customHeight="false" outlineLevel="0" collapsed="false">
      <c r="A108" s="6" t="s">
        <v>995</v>
      </c>
      <c r="B108" s="8" t="str">
        <f aca="false">INDEX(Material_Master!$D$2:$D$1000,MATCH(A108,Material_Master!$A$2:$A$1000,0))</f>
        <v>Mosquito net with aluminium frame</v>
      </c>
      <c r="C108" s="8" t="str">
        <f aca="false">INDEX(Material_Master!$F$2:$F$1000,MATCH(A108,Material_Master!$A$2:$A$1000,0))</f>
        <v>sft</v>
      </c>
      <c r="D108" s="30"/>
      <c r="E108" s="31"/>
      <c r="F108" s="31"/>
      <c r="G108" s="12"/>
    </row>
    <row r="109" customFormat="false" ht="15" hidden="false" customHeight="false" outlineLevel="0" collapsed="false">
      <c r="A109" s="6" t="s">
        <v>1000</v>
      </c>
      <c r="B109" s="8" t="str">
        <f aca="false">INDEX(Material_Master!$D$2:$D$1000,MATCH(A109,Material_Master!$A$2:$A$1000,0))</f>
        <v>Bath ventilator with louvre/frosted glass</v>
      </c>
      <c r="C109" s="8" t="str">
        <f aca="false">INDEX(Material_Master!$F$2:$F$1000,MATCH(A109,Material_Master!$A$2:$A$1000,0))</f>
        <v>sft</v>
      </c>
      <c r="D109" s="30"/>
      <c r="E109" s="31"/>
      <c r="F109" s="31"/>
      <c r="G109" s="12"/>
    </row>
    <row r="110" customFormat="false" ht="15" hidden="false" customHeight="false" outlineLevel="0" collapsed="false">
      <c r="A110" s="6" t="s">
        <v>1008</v>
      </c>
      <c r="B110" s="8" t="str">
        <f aca="false">INDEX(Material_Master!$D$2:$D$1000,MATCH(A110,Material_Master!$A$2:$A$1000,0))</f>
        <v>Silicone sealant (window perimeter)</v>
      </c>
      <c r="C110" s="8" t="str">
        <f aca="false">INDEX(Material_Master!$F$2:$F$1000,MATCH(A110,Material_Master!$A$2:$A$1000,0))</f>
        <v>tube</v>
      </c>
      <c r="D110" s="30"/>
      <c r="E110" s="31"/>
      <c r="F110" s="31"/>
      <c r="G110" s="12"/>
    </row>
    <row r="111" customFormat="false" ht="15" hidden="false" customHeight="false" outlineLevel="0" collapsed="false">
      <c r="A111" s="6" t="s">
        <v>1012</v>
      </c>
      <c r="B111" s="8" t="str">
        <f aca="false">INDEX(Material_Master!$D$2:$D$1000,MATCH(A111,Material_Master!$A$2:$A$1000,0))</f>
        <v>Mumty/roof door (steel or WPC)</v>
      </c>
      <c r="C111" s="8" t="str">
        <f aca="false">INDEX(Material_Master!$F$2:$F$1000,MATCH(A111,Material_Master!$A$2:$A$1000,0))</f>
        <v>Nos</v>
      </c>
      <c r="D111" s="30"/>
      <c r="E111" s="31"/>
      <c r="F111" s="31"/>
      <c r="G111" s="12"/>
    </row>
    <row r="112" customFormat="false" ht="15" hidden="false" customHeight="false" outlineLevel="0" collapsed="false">
      <c r="A112" s="6" t="s">
        <v>1018</v>
      </c>
      <c r="B112" s="8" t="str">
        <f aca="false">INDEX(Material_Master!$D$2:$D$1000,MATCH(A112,Material_Master!$A$2:$A$1000,0))</f>
        <v>Roller shutter / garage door</v>
      </c>
      <c r="C112" s="8" t="str">
        <f aca="false">INDEX(Material_Master!$F$2:$F$1000,MATCH(A112,Material_Master!$A$2:$A$1000,0))</f>
        <v>sft</v>
      </c>
      <c r="D112" s="30"/>
      <c r="E112" s="31"/>
      <c r="F112" s="31"/>
      <c r="G112" s="12"/>
    </row>
    <row r="113" customFormat="false" ht="15" hidden="false" customHeight="false" outlineLevel="0" collapsed="false">
      <c r="A113" s="6" t="s">
        <v>1025</v>
      </c>
      <c r="B113" s="8" t="str">
        <f aca="false">INDEX(Material_Master!$D$2:$D$1000,MATCH(A113,Material_Master!$A$2:$A$1000,0))</f>
        <v>Gypsum board 12.5 mm (standard / MR in wet areas)</v>
      </c>
      <c r="C113" s="8" t="str">
        <f aca="false">INDEX(Material_Master!$F$2:$F$1000,MATCH(A113,Material_Master!$A$2:$A$1000,0))</f>
        <v>sft</v>
      </c>
      <c r="D113" s="30"/>
      <c r="E113" s="31"/>
      <c r="F113" s="31"/>
      <c r="G113" s="12"/>
    </row>
    <row r="114" customFormat="false" ht="22.35" hidden="false" customHeight="false" outlineLevel="0" collapsed="false">
      <c r="A114" s="6" t="s">
        <v>1037</v>
      </c>
      <c r="B114" s="8" t="str">
        <f aca="false">INDEX(Material_Master!$D$2:$D$1000,MATCH(A114,Material_Master!$A$2:$A$1000,0))</f>
        <v>GI ceiling framing (main channel, furring, wall angle, hangers)</v>
      </c>
      <c r="C114" s="8" t="str">
        <f aca="false">INDEX(Material_Master!$F$2:$F$1000,MATCH(A114,Material_Master!$A$2:$A$1000,0))</f>
        <v>rft</v>
      </c>
      <c r="D114" s="30"/>
      <c r="E114" s="31"/>
      <c r="F114" s="31"/>
      <c r="G114" s="12"/>
    </row>
    <row r="115" customFormat="false" ht="15" hidden="false" customHeight="false" outlineLevel="0" collapsed="false">
      <c r="A115" s="6" t="s">
        <v>1042</v>
      </c>
      <c r="B115" s="8" t="str">
        <f aca="false">INDEX(Material_Master!$D$2:$D$1000,MATCH(A115,Material_Master!$A$2:$A$1000,0))</f>
        <v>PVC / aluminium ceiling panels</v>
      </c>
      <c r="C115" s="8" t="str">
        <f aca="false">INDEX(Material_Master!$F$2:$F$1000,MATCH(A115,Material_Master!$A$2:$A$1000,0))</f>
        <v>sft</v>
      </c>
      <c r="D115" s="30"/>
      <c r="E115" s="31"/>
      <c r="F115" s="31"/>
      <c r="G115" s="12"/>
    </row>
    <row r="116" customFormat="false" ht="15" hidden="false" customHeight="false" outlineLevel="0" collapsed="false">
      <c r="A116" s="6" t="s">
        <v>1049</v>
      </c>
      <c r="B116" s="8" t="str">
        <f aca="false">INDEX(Material_Master!$D$2:$D$1000,MATCH(A116,Material_Master!$A$2:$A$1000,0))</f>
        <v>Joint tape &amp; jointing compound</v>
      </c>
      <c r="C116" s="8" t="str">
        <f aca="false">INDEX(Material_Master!$F$2:$F$1000,MATCH(A116,Material_Master!$A$2:$A$1000,0))</f>
        <v>kg</v>
      </c>
      <c r="D116" s="30"/>
      <c r="E116" s="31"/>
      <c r="F116" s="31"/>
      <c r="G116" s="12"/>
    </row>
    <row r="117" customFormat="false" ht="15" hidden="false" customHeight="false" outlineLevel="0" collapsed="false">
      <c r="A117" s="6" t="s">
        <v>1054</v>
      </c>
      <c r="B117" s="8" t="str">
        <f aca="false">INDEX(Material_Master!$D$2:$D$1000,MATCH(A117,Material_Master!$A$2:$A$1000,0))</f>
        <v>Gypsum / POP cornice</v>
      </c>
      <c r="C117" s="8" t="str">
        <f aca="false">INDEX(Material_Master!$F$2:$F$1000,MATCH(A117,Material_Master!$A$2:$A$1000,0))</f>
        <v>rft</v>
      </c>
      <c r="D117" s="30"/>
      <c r="E117" s="31"/>
      <c r="F117" s="31"/>
      <c r="G117" s="12"/>
    </row>
    <row r="118" customFormat="false" ht="15" hidden="false" customHeight="false" outlineLevel="0" collapsed="false">
      <c r="A118" s="6" t="s">
        <v>1061</v>
      </c>
      <c r="B118" s="8" t="str">
        <f aca="false">INDEX(Material_Master!$D$2:$D$1000,MATCH(A118,Material_Master!$A$2:$A$1000,0))</f>
        <v>Ceiling access panels</v>
      </c>
      <c r="C118" s="8" t="str">
        <f aca="false">INDEX(Material_Master!$F$2:$F$1000,MATCH(A118,Material_Master!$A$2:$A$1000,0))</f>
        <v>Nos</v>
      </c>
      <c r="D118" s="30"/>
      <c r="E118" s="31"/>
      <c r="F118" s="31"/>
      <c r="G118" s="12"/>
    </row>
    <row r="119" customFormat="false" ht="15" hidden="false" customHeight="false" outlineLevel="0" collapsed="false">
      <c r="A119" s="6" t="s">
        <v>1067</v>
      </c>
      <c r="B119" s="8" t="str">
        <f aca="false">INDEX(Material_Master!$D$2:$D$1000,MATCH(A119,Material_Master!$A$2:$A$1000,0))</f>
        <v>Wall putty (acrylic or cement-based)</v>
      </c>
      <c r="C119" s="8" t="str">
        <f aca="false">INDEX(Material_Master!$F$2:$F$1000,MATCH(A119,Material_Master!$A$2:$A$1000,0))</f>
        <v>kg</v>
      </c>
      <c r="D119" s="30"/>
      <c r="E119" s="31"/>
      <c r="F119" s="31"/>
      <c r="G119" s="12"/>
    </row>
    <row r="120" customFormat="false" ht="15" hidden="false" customHeight="false" outlineLevel="0" collapsed="false">
      <c r="A120" s="6" t="s">
        <v>1079</v>
      </c>
      <c r="B120" s="8" t="str">
        <f aca="false">INDEX(Material_Master!$D$2:$D$1000,MATCH(A120,Material_Master!$A$2:$A$1000,0))</f>
        <v>Alkali-resistant wall sealer/primer</v>
      </c>
      <c r="C120" s="8" t="str">
        <f aca="false">INDEX(Material_Master!$F$2:$F$1000,MATCH(A120,Material_Master!$A$2:$A$1000,0))</f>
        <v>gal</v>
      </c>
      <c r="D120" s="30"/>
      <c r="E120" s="31"/>
      <c r="F120" s="31"/>
      <c r="G120" s="12"/>
    </row>
    <row r="121" customFormat="false" ht="15" hidden="false" customHeight="false" outlineLevel="0" collapsed="false">
      <c r="A121" s="6" t="s">
        <v>1089</v>
      </c>
      <c r="B121" s="8" t="str">
        <f aca="false">INDEX(Material_Master!$D$2:$D$1000,MATCH(A121,Material_Master!$A$2:$A$1000,0))</f>
        <v>Plastic emulsion (interior matt/silk)</v>
      </c>
      <c r="C121" s="8" t="str">
        <f aca="false">INDEX(Material_Master!$F$2:$F$1000,MATCH(A121,Material_Master!$A$2:$A$1000,0))</f>
        <v>gal</v>
      </c>
      <c r="D121" s="30"/>
      <c r="E121" s="31"/>
      <c r="F121" s="31"/>
      <c r="G121" s="12"/>
    </row>
    <row r="122" customFormat="false" ht="15" hidden="false" customHeight="false" outlineLevel="0" collapsed="false">
      <c r="A122" s="6" t="s">
        <v>1097</v>
      </c>
      <c r="B122" s="8" t="str">
        <f aca="false">INDEX(Material_Master!$D$2:$D$1000,MATCH(A122,Material_Master!$A$2:$A$1000,0))</f>
        <v>Ceiling emulsion (flat white)</v>
      </c>
      <c r="C122" s="8" t="str">
        <f aca="false">INDEX(Material_Master!$F$2:$F$1000,MATCH(A122,Material_Master!$A$2:$A$1000,0))</f>
        <v>gal</v>
      </c>
      <c r="D122" s="30"/>
      <c r="E122" s="31"/>
      <c r="F122" s="31"/>
      <c r="G122" s="12"/>
    </row>
    <row r="123" customFormat="false" ht="15" hidden="false" customHeight="false" outlineLevel="0" collapsed="false">
      <c r="A123" s="6" t="s">
        <v>1104</v>
      </c>
      <c r="B123" s="8" t="str">
        <f aca="false">INDEX(Material_Master!$D$2:$D$1000,MATCH(A123,Material_Master!$A$2:$A$1000,0))</f>
        <v>Exterior weather-resistant emulsion</v>
      </c>
      <c r="C123" s="8" t="str">
        <f aca="false">INDEX(Material_Master!$F$2:$F$1000,MATCH(A123,Material_Master!$A$2:$A$1000,0))</f>
        <v>gal</v>
      </c>
      <c r="D123" s="30"/>
      <c r="E123" s="31"/>
      <c r="F123" s="31"/>
      <c r="G123" s="12"/>
    </row>
    <row r="124" customFormat="false" ht="15" hidden="false" customHeight="false" outlineLevel="0" collapsed="false">
      <c r="A124" s="6" t="s">
        <v>1113</v>
      </c>
      <c r="B124" s="8" t="str">
        <f aca="false">INDEX(Material_Master!$D$2:$D$1000,MATCH(A124,Material_Master!$A$2:$A$1000,0))</f>
        <v>Textured coating (roller/spray)</v>
      </c>
      <c r="C124" s="8" t="str">
        <f aca="false">INDEX(Material_Master!$F$2:$F$1000,MATCH(A124,Material_Master!$A$2:$A$1000,0))</f>
        <v>kg</v>
      </c>
      <c r="D124" s="30"/>
      <c r="E124" s="31"/>
      <c r="F124" s="31"/>
      <c r="G124" s="12"/>
    </row>
    <row r="125" customFormat="false" ht="15" hidden="false" customHeight="false" outlineLevel="0" collapsed="false">
      <c r="A125" s="6" t="s">
        <v>1119</v>
      </c>
      <c r="B125" s="8" t="str">
        <f aca="false">INDEX(Material_Master!$D$2:$D$1000,MATCH(A125,Material_Master!$A$2:$A$1000,0))</f>
        <v>Synthetic enamel (gloss)</v>
      </c>
      <c r="C125" s="8" t="str">
        <f aca="false">INDEX(Material_Master!$F$2:$F$1000,MATCH(A125,Material_Master!$A$2:$A$1000,0))</f>
        <v>gal</v>
      </c>
      <c r="D125" s="30"/>
      <c r="E125" s="31"/>
      <c r="F125" s="31"/>
      <c r="G125" s="12"/>
    </row>
    <row r="126" customFormat="false" ht="15" hidden="false" customHeight="false" outlineLevel="0" collapsed="false">
      <c r="A126" s="6" t="s">
        <v>1126</v>
      </c>
      <c r="B126" s="8" t="str">
        <f aca="false">INDEX(Material_Master!$D$2:$D$1000,MATCH(A126,Material_Master!$A$2:$A$1000,0))</f>
        <v>Metal primer (red oxide / zinc chromate)</v>
      </c>
      <c r="C126" s="8" t="str">
        <f aca="false">INDEX(Material_Master!$F$2:$F$1000,MATCH(A126,Material_Master!$A$2:$A$1000,0))</f>
        <v>gal</v>
      </c>
      <c r="D126" s="30"/>
      <c r="E126" s="31"/>
      <c r="F126" s="31"/>
      <c r="G126" s="12"/>
    </row>
    <row r="127" customFormat="false" ht="15" hidden="false" customHeight="false" outlineLevel="0" collapsed="false">
      <c r="A127" s="6" t="s">
        <v>1130</v>
      </c>
      <c r="B127" s="8" t="str">
        <f aca="false">INDEX(Material_Master!$D$2:$D$1000,MATCH(A127,Material_Master!$A$2:$A$1000,0))</f>
        <v>Wood finish: sanding sealer + NC/PU lacquer or polish</v>
      </c>
      <c r="C127" s="8" t="str">
        <f aca="false">INDEX(Material_Master!$F$2:$F$1000,MATCH(A127,Material_Master!$A$2:$A$1000,0))</f>
        <v>L</v>
      </c>
      <c r="D127" s="30"/>
      <c r="E127" s="31"/>
      <c r="F127" s="31"/>
      <c r="G127" s="12"/>
    </row>
    <row r="128" customFormat="false" ht="15" hidden="false" customHeight="false" outlineLevel="0" collapsed="false">
      <c r="A128" s="6" t="s">
        <v>1137</v>
      </c>
      <c r="B128" s="8" t="str">
        <f aca="false">INDEX(Material_Master!$D$2:$D$1000,MATCH(A128,Material_Master!$A$2:$A$1000,0))</f>
        <v>Thinner (NC/synthetic)</v>
      </c>
      <c r="C128" s="8" t="str">
        <f aca="false">INDEX(Material_Master!$F$2:$F$1000,MATCH(A128,Material_Master!$A$2:$A$1000,0))</f>
        <v>L</v>
      </c>
      <c r="D128" s="30"/>
      <c r="E128" s="31"/>
      <c r="F128" s="31"/>
      <c r="G128" s="12"/>
    </row>
    <row r="129" customFormat="false" ht="15" hidden="false" customHeight="false" outlineLevel="0" collapsed="false">
      <c r="A129" s="6" t="s">
        <v>1143</v>
      </c>
      <c r="B129" s="8" t="str">
        <f aca="false">INDEX(Material_Master!$D$2:$D$1000,MATCH(A129,Material_Master!$A$2:$A$1000,0))</f>
        <v>Sandpaper, masking tape, rollers, brushes</v>
      </c>
      <c r="C129" s="8" t="str">
        <f aca="false">INDEX(Material_Master!$F$2:$F$1000,MATCH(A129,Material_Master!$A$2:$A$1000,0))</f>
        <v>LS</v>
      </c>
      <c r="D129" s="30"/>
      <c r="E129" s="31"/>
      <c r="F129" s="31"/>
      <c r="G129" s="12"/>
    </row>
    <row r="130" customFormat="false" ht="15" hidden="false" customHeight="false" outlineLevel="0" collapsed="false">
      <c r="A130" s="6" t="s">
        <v>1148</v>
      </c>
      <c r="B130" s="8" t="str">
        <f aca="false">INDEX(Material_Master!$D$2:$D$1000,MATCH(A130,Material_Master!$A$2:$A$1000,0))</f>
        <v>Distemper (economy alternative)</v>
      </c>
      <c r="C130" s="8" t="str">
        <f aca="false">INDEX(Material_Master!$F$2:$F$1000,MATCH(A130,Material_Master!$A$2:$A$1000,0))</f>
        <v>kg</v>
      </c>
      <c r="D130" s="30"/>
      <c r="E130" s="31"/>
      <c r="F130" s="31"/>
      <c r="G130" s="12"/>
    </row>
    <row r="131" customFormat="false" ht="15" hidden="false" customHeight="false" outlineLevel="0" collapsed="false">
      <c r="A131" s="6" t="s">
        <v>1154</v>
      </c>
      <c r="B131" s="8" t="str">
        <f aca="false">INDEX(Material_Master!$D$2:$D$1000,MATCH(A131,Material_Master!$A$2:$A$1000,0))</f>
        <v>Wood filler / knotting</v>
      </c>
      <c r="C131" s="8" t="str">
        <f aca="false">INDEX(Material_Master!$F$2:$F$1000,MATCH(A131,Material_Master!$A$2:$A$1000,0))</f>
        <v>kg</v>
      </c>
      <c r="D131" s="30"/>
      <c r="E131" s="31"/>
      <c r="F131" s="31"/>
      <c r="G131" s="12"/>
    </row>
    <row r="132" customFormat="false" ht="22.35" hidden="false" customHeight="false" outlineLevel="0" collapsed="false">
      <c r="A132" s="6" t="s">
        <v>1159</v>
      </c>
      <c r="B132" s="8" t="str">
        <f aca="false">INDEX(Material_Master!$D$2:$D$1000,MATCH(A132,Material_Master!$A$2:$A$1000,0))</f>
        <v>Wardrobe carcass board (melamine-faced MDF / particle board 18 mm)</v>
      </c>
      <c r="C132" s="8" t="str">
        <f aca="false">INDEX(Material_Master!$F$2:$F$1000,MATCH(A132,Material_Master!$A$2:$A$1000,0))</f>
        <v>sft</v>
      </c>
      <c r="D132" s="30"/>
      <c r="E132" s="31"/>
      <c r="F132" s="31"/>
      <c r="G132" s="12"/>
    </row>
    <row r="133" customFormat="false" ht="15" hidden="false" customHeight="false" outlineLevel="0" collapsed="false">
      <c r="A133" s="6" t="s">
        <v>1171</v>
      </c>
      <c r="B133" s="8" t="str">
        <f aca="false">INDEX(Material_Master!$D$2:$D$1000,MATCH(A133,Material_Master!$A$2:$A$1000,0))</f>
        <v>Wardrobe shutters (laminate/lacquer MDF)</v>
      </c>
      <c r="C133" s="8" t="str">
        <f aca="false">INDEX(Material_Master!$F$2:$F$1000,MATCH(A133,Material_Master!$A$2:$A$1000,0))</f>
        <v>sft</v>
      </c>
      <c r="D133" s="30"/>
      <c r="E133" s="31"/>
      <c r="F133" s="31"/>
      <c r="G133" s="12"/>
    </row>
    <row r="134" customFormat="false" ht="22.35" hidden="false" customHeight="false" outlineLevel="0" collapsed="false">
      <c r="A134" s="6" t="s">
        <v>1177</v>
      </c>
      <c r="B134" s="8" t="str">
        <f aca="false">INDEX(Material_Master!$D$2:$D$1000,MATCH(A134,Material_Master!$A$2:$A$1000,0))</f>
        <v>Cabinet hardware (soft-close hinges, channels, handles, locks)</v>
      </c>
      <c r="C134" s="8" t="str">
        <f aca="false">INDEX(Material_Master!$F$2:$F$1000,MATCH(A134,Material_Master!$A$2:$A$1000,0))</f>
        <v>set</v>
      </c>
      <c r="D134" s="30"/>
      <c r="E134" s="31"/>
      <c r="F134" s="31"/>
      <c r="G134" s="12"/>
    </row>
    <row r="135" customFormat="false" ht="15" hidden="false" customHeight="false" outlineLevel="0" collapsed="false">
      <c r="A135" s="6" t="s">
        <v>1180</v>
      </c>
      <c r="B135" s="8" t="str">
        <f aca="false">INDEX(Material_Master!$D$2:$D$1000,MATCH(A135,Material_Master!$A$2:$A$1000,0))</f>
        <v>Bathroom vanity cabinet (PVC/WPC board)</v>
      </c>
      <c r="C135" s="8" t="str">
        <f aca="false">INDEX(Material_Master!$F$2:$F$1000,MATCH(A135,Material_Master!$A$2:$A$1000,0))</f>
        <v>Nos</v>
      </c>
      <c r="D135" s="30"/>
      <c r="E135" s="31"/>
      <c r="F135" s="31"/>
      <c r="G135" s="12"/>
    </row>
    <row r="136" customFormat="false" ht="15" hidden="false" customHeight="false" outlineLevel="0" collapsed="false">
      <c r="A136" s="6" t="s">
        <v>1189</v>
      </c>
      <c r="B136" s="8" t="str">
        <f aca="false">INDEX(Material_Master!$D$2:$D$1000,MATCH(A136,Material_Master!$A$2:$A$1000,0))</f>
        <v>Stair / balcony railing (SS 304, MS, or glass)</v>
      </c>
      <c r="C136" s="8" t="str">
        <f aca="false">INDEX(Material_Master!$F$2:$F$1000,MATCH(A136,Material_Master!$A$2:$A$1000,0))</f>
        <v>rft</v>
      </c>
      <c r="D136" s="30"/>
      <c r="E136" s="31"/>
      <c r="F136" s="31"/>
      <c r="G136" s="12"/>
    </row>
    <row r="137" customFormat="false" ht="15" hidden="false" customHeight="false" outlineLevel="0" collapsed="false">
      <c r="A137" s="6" t="s">
        <v>1197</v>
      </c>
      <c r="B137" s="8" t="str">
        <f aca="false">INDEX(Material_Master!$D$2:$D$1000,MATCH(A137,Material_Master!$A$2:$A$1000,0))</f>
        <v>Main gate (MS sheet + pipe frame, sliding/swing)</v>
      </c>
      <c r="C137" s="8" t="str">
        <f aca="false">INDEX(Material_Master!$F$2:$F$1000,MATCH(A137,Material_Master!$A$2:$A$1000,0))</f>
        <v>kg</v>
      </c>
      <c r="D137" s="30"/>
      <c r="E137" s="31"/>
      <c r="F137" s="31"/>
      <c r="G137" s="12"/>
    </row>
    <row r="138" customFormat="false" ht="15" hidden="false" customHeight="false" outlineLevel="0" collapsed="false">
      <c r="A138" s="6" t="s">
        <v>1207</v>
      </c>
      <c r="B138" s="8" t="str">
        <f aca="false">INDEX(Material_Master!$D$2:$D$1000,MATCH(A138,Material_Master!$A$2:$A$1000,0))</f>
        <v>Wall panelling / feature wall</v>
      </c>
      <c r="C138" s="8" t="str">
        <f aca="false">INDEX(Material_Master!$F$2:$F$1000,MATCH(A138,Material_Master!$A$2:$A$1000,0))</f>
        <v>sft</v>
      </c>
      <c r="D138" s="30"/>
      <c r="E138" s="31"/>
      <c r="F138" s="31"/>
      <c r="G138" s="12"/>
    </row>
    <row r="139" customFormat="false" ht="15" hidden="false" customHeight="false" outlineLevel="0" collapsed="false">
      <c r="A139" s="6" t="s">
        <v>1214</v>
      </c>
      <c r="B139" s="8" t="str">
        <f aca="false">INDEX(Material_Master!$D$2:$D$1000,MATCH(A139,Material_Master!$A$2:$A$1000,0))</f>
        <v>Curtain rods / blinds provision</v>
      </c>
      <c r="C139" s="8" t="str">
        <f aca="false">INDEX(Material_Master!$F$2:$F$1000,MATCH(A139,Material_Master!$A$2:$A$1000,0))</f>
        <v>rft</v>
      </c>
      <c r="D139" s="30"/>
      <c r="E139" s="31"/>
      <c r="F139" s="31"/>
      <c r="G139" s="12"/>
    </row>
    <row r="140" customFormat="false" ht="15" hidden="false" customHeight="false" outlineLevel="0" collapsed="false">
      <c r="A140" s="6" t="s">
        <v>1219</v>
      </c>
      <c r="B140" s="8" t="str">
        <f aca="false">INDEX(Material_Master!$D$2:$D$1000,MATCH(A140,Material_Master!$A$2:$A$1000,0))</f>
        <v>Canopy / shade over mumty door or balcony</v>
      </c>
      <c r="C140" s="8" t="str">
        <f aca="false">INDEX(Material_Master!$F$2:$F$1000,MATCH(A140,Material_Master!$A$2:$A$1000,0))</f>
        <v>sft</v>
      </c>
      <c r="D140" s="30"/>
      <c r="E140" s="31"/>
      <c r="F140" s="31"/>
      <c r="G140" s="12"/>
    </row>
    <row r="141" customFormat="false" ht="22.35" hidden="false" customHeight="false" outlineLevel="0" collapsed="false">
      <c r="A141" s="6" t="s">
        <v>1225</v>
      </c>
      <c r="B141" s="8" t="str">
        <f aca="false">INDEX(Material_Master!$D$2:$D$1000,MATCH(A141,Material_Master!$A$2:$A$1000,0))</f>
        <v>Kitchen base cabinet carcass (WPC/PVC foam board or HMR MDF 18mm)</v>
      </c>
      <c r="C141" s="8" t="str">
        <f aca="false">INDEX(Material_Master!$F$2:$F$1000,MATCH(A141,Material_Master!$A$2:$A$1000,0))</f>
        <v>rft</v>
      </c>
      <c r="D141" s="30"/>
      <c r="E141" s="31"/>
      <c r="F141" s="31"/>
      <c r="G141" s="12"/>
    </row>
    <row r="142" customFormat="false" ht="15" hidden="false" customHeight="false" outlineLevel="0" collapsed="false">
      <c r="A142" s="6" t="s">
        <v>1236</v>
      </c>
      <c r="B142" s="8" t="str">
        <f aca="false">INDEX(Material_Master!$D$2:$D$1000,MATCH(A142,Material_Master!$A$2:$A$1000,0))</f>
        <v>Kitchen wall cabinet carcass</v>
      </c>
      <c r="C142" s="8" t="str">
        <f aca="false">INDEX(Material_Master!$F$2:$F$1000,MATCH(A142,Material_Master!$A$2:$A$1000,0))</f>
        <v>rft</v>
      </c>
      <c r="D142" s="30"/>
      <c r="E142" s="31"/>
      <c r="F142" s="31"/>
      <c r="G142" s="12"/>
    </row>
    <row r="143" customFormat="false" ht="15" hidden="false" customHeight="false" outlineLevel="0" collapsed="false">
      <c r="A143" s="6" t="s">
        <v>1243</v>
      </c>
      <c r="B143" s="8" t="str">
        <f aca="false">INDEX(Material_Master!$D$2:$D$1000,MATCH(A143,Material_Master!$A$2:$A$1000,0))</f>
        <v>Cabinet shutters (acrylic / laminate / lacquer)</v>
      </c>
      <c r="C143" s="8" t="str">
        <f aca="false">INDEX(Material_Master!$F$2:$F$1000,MATCH(A143,Material_Master!$A$2:$A$1000,0))</f>
        <v>sft</v>
      </c>
      <c r="D143" s="30"/>
      <c r="E143" s="31"/>
      <c r="F143" s="31"/>
      <c r="G143" s="12"/>
    </row>
    <row r="144" customFormat="false" ht="15" hidden="false" customHeight="false" outlineLevel="0" collapsed="false">
      <c r="A144" s="6" t="s">
        <v>1248</v>
      </c>
      <c r="B144" s="8" t="str">
        <f aca="false">INDEX(Material_Master!$D$2:$D$1000,MATCH(A144,Material_Master!$A$2:$A$1000,0))</f>
        <v>Countertop - granite 3/4in (or quartz)</v>
      </c>
      <c r="C144" s="8" t="str">
        <f aca="false">INDEX(Material_Master!$F$2:$F$1000,MATCH(A144,Material_Master!$A$2:$A$1000,0))</f>
        <v>sft</v>
      </c>
      <c r="D144" s="30"/>
      <c r="E144" s="31"/>
      <c r="F144" s="31"/>
      <c r="G144" s="12"/>
    </row>
    <row r="145" customFormat="false" ht="15" hidden="false" customHeight="false" outlineLevel="0" collapsed="false">
      <c r="A145" s="6" t="s">
        <v>1255</v>
      </c>
      <c r="B145" s="8" t="str">
        <f aca="false">INDEX(Material_Master!$D$2:$D$1000,MATCH(A145,Material_Master!$A$2:$A$1000,0))</f>
        <v>Stainless steel sink (single/double bowl + drainboard)</v>
      </c>
      <c r="C145" s="8" t="str">
        <f aca="false">INDEX(Material_Master!$F$2:$F$1000,MATCH(A145,Material_Master!$A$2:$A$1000,0))</f>
        <v>Nos</v>
      </c>
      <c r="D145" s="30"/>
      <c r="E145" s="31"/>
      <c r="F145" s="31"/>
      <c r="G145" s="12"/>
    </row>
    <row r="146" customFormat="false" ht="15" hidden="false" customHeight="false" outlineLevel="0" collapsed="false">
      <c r="A146" s="6" t="s">
        <v>1262</v>
      </c>
      <c r="B146" s="8" t="str">
        <f aca="false">INDEX(Material_Master!$D$2:$D$1000,MATCH(A146,Material_Master!$A$2:$A$1000,0))</f>
        <v>Sink mixer (hot &amp; cold)</v>
      </c>
      <c r="C146" s="8" t="str">
        <f aca="false">INDEX(Material_Master!$F$2:$F$1000,MATCH(A146,Material_Master!$A$2:$A$1000,0))</f>
        <v>Nos</v>
      </c>
      <c r="D146" s="30"/>
      <c r="E146" s="31"/>
      <c r="F146" s="31"/>
      <c r="G146" s="12"/>
    </row>
    <row r="147" customFormat="false" ht="15" hidden="false" customHeight="false" outlineLevel="0" collapsed="false">
      <c r="A147" s="6" t="s">
        <v>1265</v>
      </c>
      <c r="B147" s="8" t="str">
        <f aca="false">INDEX(Material_Master!$D$2:$D$1000,MATCH(A147,Material_Master!$A$2:$A$1000,0))</f>
        <v>Built-in hob (gas/LPG)</v>
      </c>
      <c r="C147" s="8" t="str">
        <f aca="false">INDEX(Material_Master!$F$2:$F$1000,MATCH(A147,Material_Master!$A$2:$A$1000,0))</f>
        <v>Nos</v>
      </c>
      <c r="D147" s="30"/>
      <c r="E147" s="31"/>
      <c r="F147" s="31"/>
      <c r="G147" s="12"/>
    </row>
    <row r="148" customFormat="false" ht="15" hidden="false" customHeight="false" outlineLevel="0" collapsed="false">
      <c r="A148" s="6" t="s">
        <v>1273</v>
      </c>
      <c r="B148" s="8" t="str">
        <f aca="false">INDEX(Material_Master!$D$2:$D$1000,MATCH(A148,Material_Master!$A$2:$A$1000,0))</f>
        <v>Kitchen hood / chimney with 6in duct</v>
      </c>
      <c r="C148" s="8" t="str">
        <f aca="false">INDEX(Material_Master!$F$2:$F$1000,MATCH(A148,Material_Master!$A$2:$A$1000,0))</f>
        <v>Nos</v>
      </c>
      <c r="D148" s="30"/>
      <c r="E148" s="31"/>
      <c r="F148" s="31"/>
      <c r="G148" s="12"/>
    </row>
    <row r="149" customFormat="false" ht="22.35" hidden="false" customHeight="false" outlineLevel="0" collapsed="false">
      <c r="A149" s="6" t="s">
        <v>1278</v>
      </c>
      <c r="B149" s="8" t="str">
        <f aca="false">INDEX(Material_Master!$D$2:$D$1000,MATCH(A149,Material_Master!$A$2:$A$1000,0))</f>
        <v>Kitchen hardware (hinges, drawer runners, handles, baskets)</v>
      </c>
      <c r="C149" s="8" t="str">
        <f aca="false">INDEX(Material_Master!$F$2:$F$1000,MATCH(A149,Material_Master!$A$2:$A$1000,0))</f>
        <v>set</v>
      </c>
      <c r="D149" s="30"/>
      <c r="E149" s="31"/>
      <c r="F149" s="31"/>
      <c r="G149" s="12"/>
    </row>
    <row r="150" customFormat="false" ht="15" hidden="false" customHeight="false" outlineLevel="0" collapsed="false">
      <c r="A150" s="6" t="s">
        <v>1283</v>
      </c>
      <c r="B150" s="8" t="str">
        <f aca="false">INDEX(Material_Master!$D$2:$D$1000,MATCH(A150,Material_Master!$A$2:$A$1000,0))</f>
        <v>Built-in oven (FF kitchen shows 'FRIDGE &amp; OVEN')</v>
      </c>
      <c r="C150" s="8" t="str">
        <f aca="false">INDEX(Material_Master!$F$2:$F$1000,MATCH(A150,Material_Master!$A$2:$A$1000,0))</f>
        <v>Nos</v>
      </c>
      <c r="D150" s="30"/>
      <c r="E150" s="31"/>
      <c r="F150" s="31"/>
      <c r="G150" s="12"/>
    </row>
    <row r="151" customFormat="false" ht="15" hidden="false" customHeight="false" outlineLevel="0" collapsed="false">
      <c r="A151" s="6" t="s">
        <v>1289</v>
      </c>
      <c r="B151" s="8" t="str">
        <f aca="false">INDEX(Material_Master!$D$2:$D$1000,MATCH(A151,Material_Master!$A$2:$A$1000,0))</f>
        <v>PVC edge banding tape</v>
      </c>
      <c r="C151" s="8" t="str">
        <f aca="false">INDEX(Material_Master!$F$2:$F$1000,MATCH(A151,Material_Master!$A$2:$A$1000,0))</f>
        <v>rft</v>
      </c>
      <c r="D151" s="30"/>
      <c r="E151" s="31"/>
      <c r="F151" s="31"/>
      <c r="G151" s="12"/>
    </row>
    <row r="152" customFormat="false" ht="15" hidden="false" customHeight="false" outlineLevel="0" collapsed="false">
      <c r="A152" s="6" t="s">
        <v>1293</v>
      </c>
      <c r="B152" s="8" t="str">
        <f aca="false">INDEX(Material_Master!$D$2:$D$1000,MATCH(A152,Material_Master!$A$2:$A$1000,0))</f>
        <v>PPR pipe PN20, 20 mm OD (cold water branches)</v>
      </c>
      <c r="C152" s="8" t="str">
        <f aca="false">INDEX(Material_Master!$F$2:$F$1000,MATCH(A152,Material_Master!$A$2:$A$1000,0))</f>
        <v>rft</v>
      </c>
      <c r="D152" s="30"/>
      <c r="E152" s="31"/>
      <c r="F152" s="31"/>
      <c r="G152" s="12"/>
    </row>
    <row r="153" customFormat="false" ht="15" hidden="false" customHeight="false" outlineLevel="0" collapsed="false">
      <c r="A153" s="6" t="s">
        <v>1308</v>
      </c>
      <c r="B153" s="8" t="str">
        <f aca="false">INDEX(Material_Master!$D$2:$D$1000,MATCH(A153,Material_Master!$A$2:$A$1000,0))</f>
        <v>PPR pipe PN20, 25 mm OD</v>
      </c>
      <c r="C153" s="8" t="str">
        <f aca="false">INDEX(Material_Master!$F$2:$F$1000,MATCH(A153,Material_Master!$A$2:$A$1000,0))</f>
        <v>rft</v>
      </c>
      <c r="D153" s="30"/>
      <c r="E153" s="31"/>
      <c r="F153" s="31"/>
      <c r="G153" s="12"/>
    </row>
    <row r="154" customFormat="false" ht="15" hidden="false" customHeight="false" outlineLevel="0" collapsed="false">
      <c r="A154" s="6" t="s">
        <v>1315</v>
      </c>
      <c r="B154" s="8" t="str">
        <f aca="false">INDEX(Material_Master!$D$2:$D$1000,MATCH(A154,Material_Master!$A$2:$A$1000,0))</f>
        <v>PPR pipe PN20, 32 mm OD</v>
      </c>
      <c r="C154" s="8" t="str">
        <f aca="false">INDEX(Material_Master!$F$2:$F$1000,MATCH(A154,Material_Master!$A$2:$A$1000,0))</f>
        <v>rft</v>
      </c>
      <c r="D154" s="30"/>
      <c r="E154" s="31"/>
      <c r="F154" s="31"/>
      <c r="G154" s="12"/>
    </row>
    <row r="155" customFormat="false" ht="15" hidden="false" customHeight="false" outlineLevel="0" collapsed="false">
      <c r="A155" s="6" t="s">
        <v>1322</v>
      </c>
      <c r="B155" s="8" t="str">
        <f aca="false">INDEX(Material_Master!$D$2:$D$1000,MATCH(A155,Material_Master!$A$2:$A$1000,0))</f>
        <v>PPR pipe PN20, 40/50/63/75 mm OD</v>
      </c>
      <c r="C155" s="8" t="str">
        <f aca="false">INDEX(Material_Master!$F$2:$F$1000,MATCH(A155,Material_Master!$A$2:$A$1000,0))</f>
        <v>rft</v>
      </c>
      <c r="D155" s="30"/>
      <c r="E155" s="31"/>
      <c r="F155" s="31"/>
      <c r="G155" s="12"/>
    </row>
    <row r="156" customFormat="false" ht="22.35" hidden="false" customHeight="false" outlineLevel="0" collapsed="false">
      <c r="A156" s="6" t="s">
        <v>1330</v>
      </c>
      <c r="B156" s="8" t="str">
        <f aca="false">INDEX(Material_Master!$D$2:$D$1000,MATCH(A156,Material_Master!$A$2:$A$1000,0))</f>
        <v>PPR pipe for hot water (PN20/PN25 or fibre-composite) 20-25 mm</v>
      </c>
      <c r="C156" s="8" t="str">
        <f aca="false">INDEX(Material_Master!$F$2:$F$1000,MATCH(A156,Material_Master!$A$2:$A$1000,0))</f>
        <v>rft</v>
      </c>
      <c r="D156" s="30"/>
      <c r="E156" s="31"/>
      <c r="F156" s="31"/>
      <c r="G156" s="12"/>
    </row>
    <row r="157" customFormat="false" ht="15" hidden="false" customHeight="false" outlineLevel="0" collapsed="false">
      <c r="A157" s="6" t="s">
        <v>1338</v>
      </c>
      <c r="B157" s="8" t="str">
        <f aca="false">INDEX(Material_Master!$D$2:$D$1000,MATCH(A157,Material_Master!$A$2:$A$1000,0))</f>
        <v>PPR fittings PN25 (elbows, tees, sockets, reducers)</v>
      </c>
      <c r="C157" s="8" t="str">
        <f aca="false">INDEX(Material_Master!$F$2:$F$1000,MATCH(A157,Material_Master!$A$2:$A$1000,0))</f>
        <v>Nos</v>
      </c>
      <c r="D157" s="30"/>
      <c r="E157" s="31"/>
      <c r="F157" s="31"/>
      <c r="G157" s="12"/>
    </row>
    <row r="158" customFormat="false" ht="15" hidden="false" customHeight="false" outlineLevel="0" collapsed="false">
      <c r="A158" s="6" t="s">
        <v>1349</v>
      </c>
      <c r="B158" s="8" t="str">
        <f aca="false">INDEX(Material_Master!$D$2:$D$1000,MATCH(A158,Material_Master!$A$2:$A$1000,0))</f>
        <v>PPR MTA/FTA threaded adaptors (brass insert)</v>
      </c>
      <c r="C158" s="8" t="str">
        <f aca="false">INDEX(Material_Master!$F$2:$F$1000,MATCH(A158,Material_Master!$A$2:$A$1000,0))</f>
        <v>Nos</v>
      </c>
      <c r="D158" s="30"/>
      <c r="E158" s="31"/>
      <c r="F158" s="31"/>
      <c r="G158" s="12"/>
    </row>
    <row r="159" customFormat="false" ht="15" hidden="false" customHeight="false" outlineLevel="0" collapsed="false">
      <c r="A159" s="6" t="s">
        <v>1355</v>
      </c>
      <c r="B159" s="8" t="str">
        <f aca="false">INDEX(Material_Master!$D$2:$D$1000,MATCH(A159,Material_Master!$A$2:$A$1000,0))</f>
        <v>PPR/brass ball &amp; gate valves (isolation)</v>
      </c>
      <c r="C159" s="8" t="str">
        <f aca="false">INDEX(Material_Master!$F$2:$F$1000,MATCH(A159,Material_Master!$A$2:$A$1000,0))</f>
        <v>Nos</v>
      </c>
      <c r="D159" s="30"/>
      <c r="E159" s="31"/>
      <c r="F159" s="31"/>
      <c r="G159" s="12"/>
    </row>
    <row r="160" customFormat="false" ht="15" hidden="false" customHeight="false" outlineLevel="0" collapsed="false">
      <c r="A160" s="6" t="s">
        <v>1362</v>
      </c>
      <c r="B160" s="8" t="str">
        <f aca="false">INDEX(Material_Master!$D$2:$D$1000,MATCH(A160,Material_Master!$A$2:$A$1000,0))</f>
        <v>Concealed stop-cock (chrome)</v>
      </c>
      <c r="C160" s="8" t="str">
        <f aca="false">INDEX(Material_Master!$F$2:$F$1000,MATCH(A160,Material_Master!$A$2:$A$1000,0))</f>
        <v>Nos</v>
      </c>
      <c r="D160" s="30"/>
      <c r="E160" s="31"/>
      <c r="F160" s="31"/>
      <c r="G160" s="12"/>
    </row>
    <row r="161" customFormat="false" ht="15" hidden="false" customHeight="false" outlineLevel="0" collapsed="false">
      <c r="A161" s="6" t="s">
        <v>1368</v>
      </c>
      <c r="B161" s="8" t="str">
        <f aca="false">INDEX(Material_Master!$D$2:$D$1000,MATCH(A161,Material_Master!$A$2:$A$1000,0))</f>
        <v>Check (non-return) valve</v>
      </c>
      <c r="C161" s="8" t="str">
        <f aca="false">INDEX(Material_Master!$F$2:$F$1000,MATCH(A161,Material_Master!$A$2:$A$1000,0))</f>
        <v>Nos</v>
      </c>
      <c r="D161" s="30"/>
      <c r="E161" s="31"/>
      <c r="F161" s="31"/>
      <c r="G161" s="12"/>
    </row>
    <row r="162" customFormat="false" ht="15" hidden="false" customHeight="false" outlineLevel="0" collapsed="false">
      <c r="A162" s="6" t="s">
        <v>1376</v>
      </c>
      <c r="B162" s="8" t="str">
        <f aca="false">INDEX(Material_Master!$D$2:$D$1000,MATCH(A162,Material_Master!$A$2:$A$1000,0))</f>
        <v>Float valve (ball-cock) / level controller</v>
      </c>
      <c r="C162" s="8" t="str">
        <f aca="false">INDEX(Material_Master!$F$2:$F$1000,MATCH(A162,Material_Master!$A$2:$A$1000,0))</f>
        <v>Nos</v>
      </c>
      <c r="D162" s="30"/>
      <c r="E162" s="31"/>
      <c r="F162" s="31"/>
      <c r="G162" s="12"/>
    </row>
    <row r="163" customFormat="false" ht="15" hidden="false" customHeight="false" outlineLevel="0" collapsed="false">
      <c r="A163" s="6" t="s">
        <v>1383</v>
      </c>
      <c r="B163" s="8" t="str">
        <f aca="false">INDEX(Material_Master!$D$2:$D$1000,MATCH(A163,Material_Master!$A$2:$A$1000,0))</f>
        <v>Water meter &amp; service connection (CDA/WASA)</v>
      </c>
      <c r="C163" s="8" t="str">
        <f aca="false">INDEX(Material_Master!$F$2:$F$1000,MATCH(A163,Material_Master!$A$2:$A$1000,0))</f>
        <v>Nos</v>
      </c>
      <c r="D163" s="30"/>
      <c r="E163" s="31"/>
      <c r="F163" s="31"/>
      <c r="G163" s="12"/>
    </row>
    <row r="164" customFormat="false" ht="15" hidden="false" customHeight="false" outlineLevel="0" collapsed="false">
      <c r="A164" s="6" t="s">
        <v>1392</v>
      </c>
      <c r="B164" s="8" t="str">
        <f aca="false">INDEX(Material_Master!$D$2:$D$1000,MATCH(A164,Material_Master!$A$2:$A$1000,0))</f>
        <v>Booster/pressure pump 0.5-1 HP with pressure tank</v>
      </c>
      <c r="C164" s="8" t="str">
        <f aca="false">INDEX(Material_Master!$F$2:$F$1000,MATCH(A164,Material_Master!$A$2:$A$1000,0))</f>
        <v>Nos</v>
      </c>
      <c r="D164" s="30"/>
      <c r="E164" s="31"/>
      <c r="F164" s="31"/>
      <c r="G164" s="12"/>
    </row>
    <row r="165" customFormat="false" ht="15" hidden="false" customHeight="false" outlineLevel="0" collapsed="false">
      <c r="A165" s="6" t="s">
        <v>1399</v>
      </c>
      <c r="B165" s="8" t="str">
        <f aca="false">INDEX(Material_Master!$D$2:$D$1000,MATCH(A165,Material_Master!$A$2:$A$1000,0))</f>
        <v>Lift pump/motor 1 HP (UG tank -&gt; OH tank)</v>
      </c>
      <c r="C165" s="8" t="str">
        <f aca="false">INDEX(Material_Master!$F$2:$F$1000,MATCH(A165,Material_Master!$A$2:$A$1000,0))</f>
        <v>Nos</v>
      </c>
      <c r="D165" s="30"/>
      <c r="E165" s="31"/>
      <c r="F165" s="31"/>
      <c r="G165" s="12"/>
    </row>
    <row r="166" customFormat="false" ht="15" hidden="false" customHeight="false" outlineLevel="0" collapsed="false">
      <c r="A166" s="6" t="s">
        <v>1405</v>
      </c>
      <c r="B166" s="8" t="str">
        <f aca="false">INDEX(Material_Master!$D$2:$D$1000,MATCH(A166,Material_Master!$A$2:$A$1000,0))</f>
        <v>Bore / submersible pump (if no municipal supply)</v>
      </c>
      <c r="C166" s="8" t="str">
        <f aca="false">INDEX(Material_Master!$F$2:$F$1000,MATCH(A166,Material_Master!$A$2:$A$1000,0))</f>
        <v>rft</v>
      </c>
      <c r="D166" s="30"/>
      <c r="E166" s="31"/>
      <c r="F166" s="31"/>
      <c r="G166" s="12"/>
    </row>
    <row r="167" customFormat="false" ht="15" hidden="false" customHeight="false" outlineLevel="0" collapsed="false">
      <c r="A167" s="6" t="s">
        <v>1414</v>
      </c>
      <c r="B167" s="8" t="str">
        <f aca="false">INDEX(Material_Master!$D$2:$D$1000,MATCH(A167,Material_Master!$A$2:$A$1000,0))</f>
        <v>Overhead water tank 600 gal FG/plastic with GRP cover</v>
      </c>
      <c r="C167" s="8" t="str">
        <f aca="false">INDEX(Material_Master!$F$2:$F$1000,MATCH(A167,Material_Master!$A$2:$A$1000,0))</f>
        <v>Nos</v>
      </c>
      <c r="D167" s="30"/>
      <c r="E167" s="31"/>
      <c r="F167" s="31"/>
      <c r="G167" s="12"/>
    </row>
    <row r="168" customFormat="false" ht="15" hidden="false" customHeight="false" outlineLevel="0" collapsed="false">
      <c r="A168" s="6" t="s">
        <v>1424</v>
      </c>
      <c r="B168" s="8" t="str">
        <f aca="false">INDEX(Material_Master!$D$2:$D$1000,MATCH(A168,Material_Master!$A$2:$A$1000,0))</f>
        <v>Pipe insulation (glass wool with cladding / nitrile foam)</v>
      </c>
      <c r="C168" s="8" t="str">
        <f aca="false">INDEX(Material_Master!$F$2:$F$1000,MATCH(A168,Material_Master!$A$2:$A$1000,0))</f>
        <v>rft</v>
      </c>
      <c r="D168" s="30"/>
      <c r="E168" s="31"/>
      <c r="F168" s="31"/>
      <c r="G168" s="12"/>
    </row>
    <row r="169" customFormat="false" ht="15" hidden="false" customHeight="false" outlineLevel="0" collapsed="false">
      <c r="A169" s="6" t="s">
        <v>1432</v>
      </c>
      <c r="B169" s="8" t="str">
        <f aca="false">INDEX(Material_Master!$D$2:$D$1000,MATCH(A169,Material_Master!$A$2:$A$1000,0))</f>
        <v>Pipe clamps / saddles / hangers</v>
      </c>
      <c r="C169" s="8" t="str">
        <f aca="false">INDEX(Material_Master!$F$2:$F$1000,MATCH(A169,Material_Master!$A$2:$A$1000,0))</f>
        <v>Nos</v>
      </c>
      <c r="D169" s="30"/>
      <c r="E169" s="31"/>
      <c r="F169" s="31"/>
      <c r="G169" s="12"/>
    </row>
    <row r="170" customFormat="false" ht="15" hidden="false" customHeight="false" outlineLevel="0" collapsed="false">
      <c r="A170" s="6" t="s">
        <v>1438</v>
      </c>
      <c r="B170" s="8" t="str">
        <f aca="false">INDEX(Material_Master!$D$2:$D$1000,MATCH(A170,Material_Master!$A$2:$A$1000,0))</f>
        <v>PTFE tape, thread sealant, fusion consumables</v>
      </c>
      <c r="C170" s="8" t="str">
        <f aca="false">INDEX(Material_Master!$F$2:$F$1000,MATCH(A170,Material_Master!$A$2:$A$1000,0))</f>
        <v>LS</v>
      </c>
      <c r="D170" s="30"/>
      <c r="E170" s="31"/>
      <c r="F170" s="31"/>
      <c r="G170" s="12"/>
    </row>
    <row r="171" customFormat="false" ht="15" hidden="false" customHeight="false" outlineLevel="0" collapsed="false">
      <c r="A171" s="6" t="s">
        <v>1443</v>
      </c>
      <c r="B171" s="8" t="str">
        <f aca="false">INDEX(Material_Master!$D$2:$D$1000,MATCH(A171,Material_Master!$A$2:$A$1000,0))</f>
        <v>Air relief valve (ARV)</v>
      </c>
      <c r="C171" s="8" t="str">
        <f aca="false">INDEX(Material_Master!$F$2:$F$1000,MATCH(A171,Material_Master!$A$2:$A$1000,0))</f>
        <v>Nos</v>
      </c>
      <c r="D171" s="30"/>
      <c r="E171" s="31"/>
      <c r="F171" s="31"/>
      <c r="G171" s="12"/>
    </row>
    <row r="172" customFormat="false" ht="15" hidden="false" customHeight="false" outlineLevel="0" collapsed="false">
      <c r="A172" s="6" t="s">
        <v>1448</v>
      </c>
      <c r="B172" s="8" t="str">
        <f aca="false">INDEX(Material_Master!$D$2:$D$1000,MATCH(A172,Material_Master!$A$2:$A$1000,0))</f>
        <v>Hot-water recirculation pump</v>
      </c>
      <c r="C172" s="8" t="str">
        <f aca="false">INDEX(Material_Master!$F$2:$F$1000,MATCH(A172,Material_Master!$A$2:$A$1000,0))</f>
        <v>Nos</v>
      </c>
      <c r="D172" s="30"/>
      <c r="E172" s="31"/>
      <c r="F172" s="31"/>
      <c r="G172" s="12"/>
    </row>
    <row r="173" customFormat="false" ht="15" hidden="false" customHeight="false" outlineLevel="0" collapsed="false">
      <c r="A173" s="6" t="s">
        <v>1455</v>
      </c>
      <c r="B173" s="8" t="str">
        <f aca="false">INDEX(Material_Master!$D$2:$D$1000,MATCH(A173,Material_Master!$A$2:$A$1000,0))</f>
        <v>Water heater / geyser (gas, electric, instant or hybrid)</v>
      </c>
      <c r="C173" s="8" t="str">
        <f aca="false">INDEX(Material_Master!$F$2:$F$1000,MATCH(A173,Material_Master!$A$2:$A$1000,0))</f>
        <v>Nos</v>
      </c>
      <c r="D173" s="30"/>
      <c r="E173" s="31"/>
      <c r="F173" s="31"/>
      <c r="G173" s="12"/>
    </row>
    <row r="174" customFormat="false" ht="22.35" hidden="false" customHeight="false" outlineLevel="0" collapsed="false">
      <c r="A174" s="6" t="s">
        <v>1464</v>
      </c>
      <c r="B174" s="8" t="str">
        <f aca="false">INDEX(Material_Master!$D$2:$D$1000,MATCH(A174,Material_Master!$A$2:$A$1000,0))</f>
        <v>Main service pipe (street -&gt; UG tank) HDPE/PPR 25-32 mm</v>
      </c>
      <c r="C174" s="8" t="str">
        <f aca="false">INDEX(Material_Master!$F$2:$F$1000,MATCH(A174,Material_Master!$A$2:$A$1000,0))</f>
        <v>rft</v>
      </c>
      <c r="D174" s="30"/>
      <c r="E174" s="31"/>
      <c r="F174" s="31"/>
      <c r="G174" s="12"/>
    </row>
    <row r="175" customFormat="false" ht="15" hidden="false" customHeight="false" outlineLevel="0" collapsed="false">
      <c r="A175" s="6" t="s">
        <v>1471</v>
      </c>
      <c r="B175" s="8" t="str">
        <f aca="false">INDEX(Material_Master!$D$2:$D$1000,MATCH(A175,Material_Master!$A$2:$A$1000,0))</f>
        <v>Pipe sleeves at wall/slab penetrations</v>
      </c>
      <c r="C175" s="8" t="str">
        <f aca="false">INDEX(Material_Master!$F$2:$F$1000,MATCH(A175,Material_Master!$A$2:$A$1000,0))</f>
        <v>Nos</v>
      </c>
      <c r="D175" s="30"/>
      <c r="E175" s="31"/>
      <c r="F175" s="31"/>
      <c r="G175" s="12"/>
    </row>
    <row r="176" customFormat="false" ht="15" hidden="false" customHeight="false" outlineLevel="0" collapsed="false">
      <c r="A176" s="6" t="s">
        <v>1479</v>
      </c>
      <c r="B176" s="8" t="str">
        <f aca="false">INDEX(Material_Master!$D$2:$D$1000,MATCH(A176,Material_Master!$A$2:$A$1000,0))</f>
        <v>uPVC soil pipe 4in (110 mm)</v>
      </c>
      <c r="C176" s="8" t="str">
        <f aca="false">INDEX(Material_Master!$F$2:$F$1000,MATCH(A176,Material_Master!$A$2:$A$1000,0))</f>
        <v>rft</v>
      </c>
      <c r="D176" s="30"/>
      <c r="E176" s="31"/>
      <c r="F176" s="31"/>
      <c r="G176" s="12"/>
    </row>
    <row r="177" customFormat="false" ht="15" hidden="false" customHeight="false" outlineLevel="0" collapsed="false">
      <c r="A177" s="6" t="s">
        <v>1492</v>
      </c>
      <c r="B177" s="8" t="str">
        <f aca="false">INDEX(Material_Master!$D$2:$D$1000,MATCH(A177,Material_Master!$A$2:$A$1000,0))</f>
        <v>uPVC waste pipe 3in (90 mm)</v>
      </c>
      <c r="C177" s="8" t="str">
        <f aca="false">INDEX(Material_Master!$F$2:$F$1000,MATCH(A177,Material_Master!$A$2:$A$1000,0))</f>
        <v>rft</v>
      </c>
      <c r="D177" s="30"/>
      <c r="E177" s="31"/>
      <c r="F177" s="31"/>
      <c r="G177" s="12"/>
    </row>
    <row r="178" customFormat="false" ht="15" hidden="false" customHeight="false" outlineLevel="0" collapsed="false">
      <c r="A178" s="6" t="s">
        <v>1501</v>
      </c>
      <c r="B178" s="8" t="str">
        <f aca="false">INDEX(Material_Master!$D$2:$D$1000,MATCH(A178,Material_Master!$A$2:$A$1000,0))</f>
        <v>uPVC waste pipe 2in (50/63 mm)</v>
      </c>
      <c r="C178" s="8" t="str">
        <f aca="false">INDEX(Material_Master!$F$2:$F$1000,MATCH(A178,Material_Master!$A$2:$A$1000,0))</f>
        <v>rft</v>
      </c>
      <c r="D178" s="30"/>
      <c r="E178" s="31"/>
      <c r="F178" s="31"/>
      <c r="G178" s="12"/>
    </row>
    <row r="179" customFormat="false" ht="15" hidden="false" customHeight="false" outlineLevel="0" collapsed="false">
      <c r="A179" s="6" t="s">
        <v>1507</v>
      </c>
      <c r="B179" s="8" t="str">
        <f aca="false">INDEX(Material_Master!$D$2:$D$1000,MATCH(A179,Material_Master!$A$2:$A$1000,0))</f>
        <v>uPVC vent pipe 2-3in with mosquito screen cowl</v>
      </c>
      <c r="C179" s="8" t="str">
        <f aca="false">INDEX(Material_Master!$F$2:$F$1000,MATCH(A179,Material_Master!$A$2:$A$1000,0))</f>
        <v>rft</v>
      </c>
      <c r="D179" s="30"/>
      <c r="E179" s="31"/>
      <c r="F179" s="31"/>
      <c r="G179" s="12"/>
    </row>
    <row r="180" customFormat="false" ht="15" hidden="false" customHeight="false" outlineLevel="0" collapsed="false">
      <c r="A180" s="6" t="s">
        <v>1514</v>
      </c>
      <c r="B180" s="8" t="str">
        <f aca="false">INDEX(Material_Master!$D$2:$D$1000,MATCH(A180,Material_Master!$A$2:$A$1000,0))</f>
        <v>uPVC rainwater pipe 3-4in</v>
      </c>
      <c r="C180" s="8" t="str">
        <f aca="false">INDEX(Material_Master!$F$2:$F$1000,MATCH(A180,Material_Master!$A$2:$A$1000,0))</f>
        <v>rft</v>
      </c>
      <c r="D180" s="30"/>
      <c r="E180" s="31"/>
      <c r="F180" s="31"/>
      <c r="G180" s="12"/>
    </row>
    <row r="181" customFormat="false" ht="22.35" hidden="false" customHeight="false" outlineLevel="0" collapsed="false">
      <c r="A181" s="6" t="s">
        <v>1525</v>
      </c>
      <c r="B181" s="8" t="str">
        <f aca="false">INDEX(Material_Master!$D$2:$D$1000,MATCH(A181,Material_Master!$A$2:$A$1000,0))</f>
        <v>uPVC drainage fittings (bends, Y-junctions, tees, sockets, reducers, cleanout plugs)</v>
      </c>
      <c r="C181" s="8" t="str">
        <f aca="false">INDEX(Material_Master!$F$2:$F$1000,MATCH(A181,Material_Master!$A$2:$A$1000,0))</f>
        <v>Nos</v>
      </c>
      <c r="D181" s="30"/>
      <c r="E181" s="31"/>
      <c r="F181" s="31"/>
      <c r="G181" s="12"/>
    </row>
    <row r="182" customFormat="false" ht="15" hidden="false" customHeight="false" outlineLevel="0" collapsed="false">
      <c r="A182" s="6" t="s">
        <v>1531</v>
      </c>
      <c r="B182" s="8" t="str">
        <f aca="false">INDEX(Material_Master!$D$2:$D$1000,MATCH(A182,Material_Master!$A$2:$A$1000,0))</f>
        <v>uPVC solvent cement</v>
      </c>
      <c r="C182" s="8" t="str">
        <f aca="false">INDEX(Material_Master!$F$2:$F$1000,MATCH(A182,Material_Master!$A$2:$A$1000,0))</f>
        <v>L</v>
      </c>
      <c r="D182" s="30"/>
      <c r="E182" s="31"/>
      <c r="F182" s="31"/>
      <c r="G182" s="12"/>
    </row>
    <row r="183" customFormat="false" ht="15" hidden="false" customHeight="false" outlineLevel="0" collapsed="false">
      <c r="A183" s="6" t="s">
        <v>1537</v>
      </c>
      <c r="B183" s="8" t="str">
        <f aca="false">INDEX(Material_Master!$D$2:$D$1000,MATCH(A183,Material_Master!$A$2:$A$1000,0))</f>
        <v>Rubber ring (EPDM) joints for sewer pipe</v>
      </c>
      <c r="C183" s="8" t="str">
        <f aca="false">INDEX(Material_Master!$F$2:$F$1000,MATCH(A183,Material_Master!$A$2:$A$1000,0))</f>
        <v>Nos</v>
      </c>
      <c r="D183" s="30"/>
      <c r="E183" s="31"/>
      <c r="F183" s="31"/>
      <c r="G183" s="12"/>
    </row>
    <row r="184" customFormat="false" ht="15" hidden="false" customHeight="false" outlineLevel="0" collapsed="false">
      <c r="A184" s="6" t="s">
        <v>1545</v>
      </c>
      <c r="B184" s="8" t="str">
        <f aca="false">INDEX(Material_Master!$D$2:$D$1000,MATCH(A184,Material_Master!$A$2:$A$1000,0))</f>
        <v>Floor trap (FT) with SS/brass grating, anti-cockroach</v>
      </c>
      <c r="C184" s="8" t="str">
        <f aca="false">INDEX(Material_Master!$F$2:$F$1000,MATCH(A184,Material_Master!$A$2:$A$1000,0))</f>
        <v>Nos</v>
      </c>
      <c r="D184" s="30"/>
      <c r="E184" s="31"/>
      <c r="F184" s="31"/>
      <c r="G184" s="12"/>
    </row>
    <row r="185" customFormat="false" ht="15" hidden="false" customHeight="false" outlineLevel="0" collapsed="false">
      <c r="A185" s="6" t="s">
        <v>1555</v>
      </c>
      <c r="B185" s="8" t="str">
        <f aca="false">INDEX(Material_Master!$D$2:$D$1000,MATCH(A185,Material_Master!$A$2:$A$1000,0))</f>
        <v>Cleanout (C.O) with brass screw cap</v>
      </c>
      <c r="C185" s="8" t="str">
        <f aca="false">INDEX(Material_Master!$F$2:$F$1000,MATCH(A185,Material_Master!$A$2:$A$1000,0))</f>
        <v>Nos</v>
      </c>
      <c r="D185" s="30"/>
      <c r="E185" s="31"/>
      <c r="F185" s="31"/>
      <c r="G185" s="12"/>
    </row>
    <row r="186" customFormat="false" ht="15" hidden="false" customHeight="false" outlineLevel="0" collapsed="false">
      <c r="A186" s="6" t="s">
        <v>1564</v>
      </c>
      <c r="B186" s="8" t="str">
        <f aca="false">INDEX(Material_Master!$D$2:$D$1000,MATCH(A186,Material_Master!$A$2:$A$1000,0))</f>
        <v>Bottle trap (chrome) for wash basins</v>
      </c>
      <c r="C186" s="8" t="str">
        <f aca="false">INDEX(Material_Master!$F$2:$F$1000,MATCH(A186,Material_Master!$A$2:$A$1000,0))</f>
        <v>Nos</v>
      </c>
      <c r="D186" s="30"/>
      <c r="E186" s="31"/>
      <c r="F186" s="31"/>
      <c r="G186" s="12"/>
    </row>
    <row r="187" customFormat="false" ht="22.35" hidden="false" customHeight="false" outlineLevel="0" collapsed="false">
      <c r="A187" s="6" t="s">
        <v>1569</v>
      </c>
      <c r="B187" s="8" t="str">
        <f aca="false">INDEX(Material_Master!$D$2:$D$1000,MATCH(A187,Material_Master!$A$2:$A$1000,0))</f>
        <v>External sewer pipe 6in (160 mm) uPVC flow-line or RCC (Shalimar)</v>
      </c>
      <c r="C187" s="8" t="str">
        <f aca="false">INDEX(Material_Master!$F$2:$F$1000,MATCH(A187,Material_Master!$A$2:$A$1000,0))</f>
        <v>rft</v>
      </c>
      <c r="D187" s="30"/>
      <c r="E187" s="31"/>
      <c r="F187" s="31"/>
      <c r="G187" s="12"/>
    </row>
    <row r="188" customFormat="false" ht="22.35" hidden="false" customHeight="false" outlineLevel="0" collapsed="false">
      <c r="A188" s="6" t="s">
        <v>1579</v>
      </c>
      <c r="B188" s="8" t="str">
        <f aca="false">INDEX(Material_Master!$D$2:$D$1000,MATCH(A188,Material_Master!$A$2:$A$1000,0))</f>
        <v>Manhole brickwork, PCC base, RCC slab, benching (materials via WI-PB-12)</v>
      </c>
      <c r="C188" s="8" t="str">
        <f aca="false">INDEX(Material_Master!$F$2:$F$1000,MATCH(A188,Material_Master!$A$2:$A$1000,0))</f>
        <v>Nos</v>
      </c>
      <c r="D188" s="30"/>
      <c r="E188" s="31"/>
      <c r="F188" s="31"/>
      <c r="G188" s="12"/>
    </row>
    <row r="189" customFormat="false" ht="22.35" hidden="false" customHeight="false" outlineLevel="0" collapsed="false">
      <c r="A189" s="6" t="s">
        <v>1590</v>
      </c>
      <c r="B189" s="8" t="str">
        <f aca="false">INDEX(Material_Master!$D$2:$D$1000,MATCH(A189,Material_Master!$A$2:$A$1000,0))</f>
        <v>Manhole cover with CI/MS angle frame (18in/22in dia or RCC)</v>
      </c>
      <c r="C189" s="8" t="str">
        <f aca="false">INDEX(Material_Master!$F$2:$F$1000,MATCH(A189,Material_Master!$A$2:$A$1000,0))</f>
        <v>Nos</v>
      </c>
      <c r="D189" s="30"/>
      <c r="E189" s="31"/>
      <c r="F189" s="31"/>
      <c r="G189" s="12"/>
    </row>
    <row r="190" customFormat="false" ht="15" hidden="false" customHeight="false" outlineLevel="0" collapsed="false">
      <c r="A190" s="6" t="s">
        <v>1598</v>
      </c>
      <c r="B190" s="8" t="str">
        <f aca="false">INDEX(Material_Master!$D$2:$D$1000,MATCH(A190,Material_Master!$A$2:$A$1000,0))</f>
        <v>Gully trap (CI/uPVC) with grating + brick chamber</v>
      </c>
      <c r="C190" s="8" t="str">
        <f aca="false">INDEX(Material_Master!$F$2:$F$1000,MATCH(A190,Material_Master!$A$2:$A$1000,0))</f>
        <v>Nos</v>
      </c>
      <c r="D190" s="30"/>
      <c r="E190" s="31"/>
      <c r="F190" s="31"/>
      <c r="G190" s="12"/>
    </row>
    <row r="191" customFormat="false" ht="15" hidden="false" customHeight="false" outlineLevel="0" collapsed="false">
      <c r="A191" s="6" t="s">
        <v>1605</v>
      </c>
      <c r="B191" s="8" t="str">
        <f aca="false">INDEX(Material_Master!$D$2:$D$1000,MATCH(A191,Material_Master!$A$2:$A$1000,0))</f>
        <v>Khura (roof outlet) 2'x2' with CI/SS grating</v>
      </c>
      <c r="C191" s="8" t="str">
        <f aca="false">INDEX(Material_Master!$F$2:$F$1000,MATCH(A191,Material_Master!$A$2:$A$1000,0))</f>
        <v>Nos</v>
      </c>
      <c r="D191" s="30"/>
      <c r="E191" s="31"/>
      <c r="F191" s="31"/>
      <c r="G191" s="12"/>
    </row>
    <row r="192" customFormat="false" ht="15" hidden="false" customHeight="false" outlineLevel="0" collapsed="false">
      <c r="A192" s="6" t="s">
        <v>1614</v>
      </c>
      <c r="B192" s="8" t="str">
        <f aca="false">INDEX(Material_Master!$D$2:$D$1000,MATCH(A192,Material_Master!$A$2:$A$1000,0))</f>
        <v>Malleable CI manhole steps @12in c/c</v>
      </c>
      <c r="C192" s="8" t="str">
        <f aca="false">INDEX(Material_Master!$F$2:$F$1000,MATCH(A192,Material_Master!$A$2:$A$1000,0))</f>
        <v>Nos</v>
      </c>
      <c r="D192" s="30"/>
      <c r="E192" s="31"/>
      <c r="F192" s="31"/>
      <c r="G192" s="12"/>
    </row>
    <row r="193" customFormat="false" ht="15" hidden="false" customHeight="false" outlineLevel="0" collapsed="false">
      <c r="A193" s="6" t="s">
        <v>1623</v>
      </c>
      <c r="B193" s="8" t="str">
        <f aca="false">INDEX(Material_Master!$D$2:$D$1000,MATCH(A193,Material_Master!$A$2:$A$1000,0))</f>
        <v>Puddlo (integral WP) for manhole plaster</v>
      </c>
      <c r="C193" s="8" t="str">
        <f aca="false">INDEX(Material_Master!$F$2:$F$1000,MATCH(A193,Material_Master!$A$2:$A$1000,0))</f>
        <v>kg</v>
      </c>
      <c r="D193" s="30"/>
      <c r="E193" s="31"/>
      <c r="F193" s="31"/>
      <c r="G193" s="12"/>
    </row>
    <row r="194" customFormat="false" ht="15" hidden="false" customHeight="false" outlineLevel="0" collapsed="false">
      <c r="A194" s="6" t="s">
        <v>1631</v>
      </c>
      <c r="B194" s="8" t="str">
        <f aca="false">INDEX(Material_Master!$D$2:$D$1000,MATCH(A194,Material_Master!$A$2:$A$1000,0))</f>
        <v>Surface drain D-1/D-2 (PCC/RCC) with grating</v>
      </c>
      <c r="C194" s="8" t="str">
        <f aca="false">INDEX(Material_Master!$F$2:$F$1000,MATCH(A194,Material_Master!$A$2:$A$1000,0))</f>
        <v>rft</v>
      </c>
      <c r="D194" s="30"/>
      <c r="E194" s="31"/>
      <c r="F194" s="31"/>
      <c r="G194" s="12"/>
    </row>
    <row r="195" customFormat="false" ht="15" hidden="false" customHeight="false" outlineLevel="0" collapsed="false">
      <c r="A195" s="6" t="s">
        <v>1639</v>
      </c>
      <c r="B195" s="8" t="str">
        <f aca="false">INDEX(Material_Master!$D$2:$D$1000,MATCH(A195,Material_Master!$A$2:$A$1000,0))</f>
        <v>Sand bedding for sewer trench (3in)</v>
      </c>
      <c r="C195" s="8" t="str">
        <f aca="false">INDEX(Material_Master!$F$2:$F$1000,MATCH(A195,Material_Master!$A$2:$A$1000,0))</f>
        <v>cft</v>
      </c>
      <c r="D195" s="30"/>
      <c r="E195" s="31"/>
      <c r="F195" s="31"/>
      <c r="G195" s="12"/>
    </row>
    <row r="196" customFormat="false" ht="15" hidden="false" customHeight="false" outlineLevel="0" collapsed="false">
      <c r="A196" s="6" t="s">
        <v>1645</v>
      </c>
      <c r="B196" s="8" t="str">
        <f aca="false">INDEX(Material_Master!$D$2:$D$1000,MATCH(A196,Material_Master!$A$2:$A$1000,0))</f>
        <v>Pipe clamps / hangers (MS galvanised)</v>
      </c>
      <c r="C196" s="8" t="str">
        <f aca="false">INDEX(Material_Master!$F$2:$F$1000,MATCH(A196,Material_Master!$A$2:$A$1000,0))</f>
        <v>Nos</v>
      </c>
      <c r="D196" s="30"/>
      <c r="E196" s="31"/>
      <c r="F196" s="31"/>
      <c r="G196" s="12"/>
    </row>
    <row r="197" customFormat="false" ht="15" hidden="false" customHeight="false" outlineLevel="0" collapsed="false">
      <c r="A197" s="6" t="s">
        <v>1650</v>
      </c>
      <c r="B197" s="8" t="str">
        <f aca="false">INDEX(Material_Master!$D$2:$D$1000,MATCH(A197,Material_Master!$A$2:$A$1000,0))</f>
        <v>Kitchen sink waste set with grease trap / strainer</v>
      </c>
      <c r="C197" s="8" t="str">
        <f aca="false">INDEX(Material_Master!$F$2:$F$1000,MATCH(A197,Material_Master!$A$2:$A$1000,0))</f>
        <v>Nos</v>
      </c>
      <c r="D197" s="30"/>
      <c r="E197" s="31"/>
      <c r="F197" s="31"/>
      <c r="G197" s="12"/>
    </row>
    <row r="198" customFormat="false" ht="22.35" hidden="false" customHeight="false" outlineLevel="0" collapsed="false">
      <c r="A198" s="6" t="s">
        <v>1655</v>
      </c>
      <c r="B198" s="8" t="str">
        <f aca="false">INDEX(Material_Master!$D$2:$D$1000,MATCH(A198,Material_Master!$A$2:$A$1000,0))</f>
        <v>Septic tank (RCC 1:2:4) - materials booked via WI-CN (tank) recipes</v>
      </c>
      <c r="C198" s="8" t="str">
        <f aca="false">INDEX(Material_Master!$F$2:$F$1000,MATCH(A198,Material_Master!$A$2:$A$1000,0))</f>
        <v>Nos</v>
      </c>
      <c r="D198" s="30"/>
      <c r="E198" s="31"/>
      <c r="F198" s="31"/>
      <c r="G198" s="12"/>
    </row>
    <row r="199" customFormat="false" ht="15" hidden="false" customHeight="false" outlineLevel="0" collapsed="false">
      <c r="A199" s="6" t="s">
        <v>1665</v>
      </c>
      <c r="B199" s="8" t="str">
        <f aca="false">INDEX(Material_Master!$D$2:$D$1000,MATCH(A199,Material_Master!$A$2:$A$1000,0))</f>
        <v>Wall-hung WC pan (vitreous china)</v>
      </c>
      <c r="C199" s="8" t="str">
        <f aca="false">INDEX(Material_Master!$F$2:$F$1000,MATCH(A199,Material_Master!$A$2:$A$1000,0))</f>
        <v>Nos</v>
      </c>
      <c r="D199" s="30"/>
      <c r="E199" s="31"/>
      <c r="F199" s="31"/>
      <c r="G199" s="12"/>
    </row>
    <row r="200" customFormat="false" ht="15" hidden="false" customHeight="false" outlineLevel="0" collapsed="false">
      <c r="A200" s="6" t="s">
        <v>1674</v>
      </c>
      <c r="B200" s="8" t="str">
        <f aca="false">INDEX(Material_Master!$D$2:$D$1000,MATCH(A200,Material_Master!$A$2:$A$1000,0))</f>
        <v>Concealed cistern frame + dual flush plate</v>
      </c>
      <c r="C200" s="8" t="str">
        <f aca="false">INDEX(Material_Master!$F$2:$F$1000,MATCH(A200,Material_Master!$A$2:$A$1000,0))</f>
        <v>Nos</v>
      </c>
      <c r="D200" s="30"/>
      <c r="E200" s="31"/>
      <c r="F200" s="31"/>
      <c r="G200" s="12"/>
    </row>
    <row r="201" customFormat="false" ht="15" hidden="false" customHeight="false" outlineLevel="0" collapsed="false">
      <c r="A201" s="6" t="s">
        <v>1680</v>
      </c>
      <c r="B201" s="8" t="str">
        <f aca="false">INDEX(Material_Master!$D$2:$D$1000,MATCH(A201,Material_Master!$A$2:$A$1000,0))</f>
        <v>Floor-mounted commode (alternative)</v>
      </c>
      <c r="C201" s="8" t="str">
        <f aca="false">INDEX(Material_Master!$F$2:$F$1000,MATCH(A201,Material_Master!$A$2:$A$1000,0))</f>
        <v>Nos</v>
      </c>
      <c r="D201" s="30"/>
      <c r="E201" s="31"/>
      <c r="F201" s="31"/>
      <c r="G201" s="12"/>
    </row>
    <row r="202" customFormat="false" ht="15" hidden="false" customHeight="false" outlineLevel="0" collapsed="false">
      <c r="A202" s="6" t="s">
        <v>1687</v>
      </c>
      <c r="B202" s="8" t="str">
        <f aca="false">INDEX(Material_Master!$D$2:$D$1000,MATCH(A202,Material_Master!$A$2:$A$1000,0))</f>
        <v>Wash basin / vanity top basin</v>
      </c>
      <c r="C202" s="8" t="str">
        <f aca="false">INDEX(Material_Master!$F$2:$F$1000,MATCH(A202,Material_Master!$A$2:$A$1000,0))</f>
        <v>Nos</v>
      </c>
      <c r="D202" s="30"/>
      <c r="E202" s="31"/>
      <c r="F202" s="31"/>
      <c r="G202" s="12"/>
    </row>
    <row r="203" customFormat="false" ht="15" hidden="false" customHeight="false" outlineLevel="0" collapsed="false">
      <c r="A203" s="6" t="s">
        <v>1693</v>
      </c>
      <c r="B203" s="8" t="str">
        <f aca="false">INDEX(Material_Master!$D$2:$D$1000,MATCH(A203,Material_Master!$A$2:$A$1000,0))</f>
        <v>Basin mixer (single lever)</v>
      </c>
      <c r="C203" s="8" t="str">
        <f aca="false">INDEX(Material_Master!$F$2:$F$1000,MATCH(A203,Material_Master!$A$2:$A$1000,0))</f>
        <v>Nos</v>
      </c>
      <c r="D203" s="30"/>
      <c r="E203" s="31"/>
      <c r="F203" s="31"/>
      <c r="G203" s="12"/>
    </row>
    <row r="204" customFormat="false" ht="22.35" hidden="false" customHeight="false" outlineLevel="0" collapsed="false">
      <c r="A204" s="6" t="s">
        <v>1697</v>
      </c>
      <c r="B204" s="8" t="str">
        <f aca="false">INDEX(Material_Master!$D$2:$D$1000,MATCH(A204,Material_Master!$A$2:$A$1000,0))</f>
        <v>Concealed shower set (diverter/mixer body + trim, overhead shower, arm)</v>
      </c>
      <c r="C204" s="8" t="str">
        <f aca="false">INDEX(Material_Master!$F$2:$F$1000,MATCH(A204,Material_Master!$A$2:$A$1000,0))</f>
        <v>set</v>
      </c>
      <c r="D204" s="30"/>
      <c r="E204" s="31"/>
      <c r="F204" s="31"/>
      <c r="G204" s="12"/>
    </row>
    <row r="205" customFormat="false" ht="15" hidden="false" customHeight="false" outlineLevel="0" collapsed="false">
      <c r="A205" s="6" t="s">
        <v>1707</v>
      </c>
      <c r="B205" s="8" t="str">
        <f aca="false">INDEX(Material_Master!$D$2:$D$1000,MATCH(A205,Material_Master!$A$2:$A$1000,0))</f>
        <v>Health faucet (Muslim shower) with angle valve &amp; hose</v>
      </c>
      <c r="C205" s="8" t="str">
        <f aca="false">INDEX(Material_Master!$F$2:$F$1000,MATCH(A205,Material_Master!$A$2:$A$1000,0))</f>
        <v>Nos</v>
      </c>
      <c r="D205" s="30"/>
      <c r="E205" s="31"/>
      <c r="F205" s="31"/>
      <c r="G205" s="12"/>
    </row>
    <row r="206" customFormat="false" ht="15" hidden="false" customHeight="false" outlineLevel="0" collapsed="false">
      <c r="A206" s="6" t="s">
        <v>1714</v>
      </c>
      <c r="B206" s="8" t="str">
        <f aca="false">INDEX(Material_Master!$D$2:$D$1000,MATCH(A206,Material_Master!$A$2:$A$1000,0))</f>
        <v>Angle valves (stop cocks) 1/2in</v>
      </c>
      <c r="C206" s="8" t="str">
        <f aca="false">INDEX(Material_Master!$F$2:$F$1000,MATCH(A206,Material_Master!$A$2:$A$1000,0))</f>
        <v>Nos</v>
      </c>
      <c r="D206" s="30"/>
      <c r="E206" s="31"/>
      <c r="F206" s="31"/>
      <c r="G206" s="12"/>
    </row>
    <row r="207" customFormat="false" ht="15" hidden="false" customHeight="false" outlineLevel="0" collapsed="false">
      <c r="A207" s="6" t="s">
        <v>1719</v>
      </c>
      <c r="B207" s="8" t="str">
        <f aca="false">INDEX(Material_Master!$D$2:$D$1000,MATCH(A207,Material_Master!$A$2:$A$1000,0))</f>
        <v>Braided connection hoses</v>
      </c>
      <c r="C207" s="8" t="str">
        <f aca="false">INDEX(Material_Master!$F$2:$F$1000,MATCH(A207,Material_Master!$A$2:$A$1000,0))</f>
        <v>Nos</v>
      </c>
      <c r="D207" s="30"/>
      <c r="E207" s="31"/>
      <c r="F207" s="31"/>
      <c r="G207" s="12"/>
    </row>
    <row r="208" customFormat="false" ht="22.35" hidden="false" customHeight="false" outlineLevel="0" collapsed="false">
      <c r="A208" s="6" t="s">
        <v>1726</v>
      </c>
      <c r="B208" s="8" t="str">
        <f aca="false">INDEX(Material_Master!$D$2:$D$1000,MATCH(A208,Material_Master!$A$2:$A$1000,0))</f>
        <v>Bath accessories set (towel rail, ring, paper holder, soap dish, robe hook, shelf)</v>
      </c>
      <c r="C208" s="8" t="str">
        <f aca="false">INDEX(Material_Master!$F$2:$F$1000,MATCH(A208,Material_Master!$A$2:$A$1000,0))</f>
        <v>set</v>
      </c>
      <c r="D208" s="30"/>
      <c r="E208" s="31"/>
      <c r="F208" s="31"/>
      <c r="G208" s="12"/>
    </row>
    <row r="209" customFormat="false" ht="15" hidden="false" customHeight="false" outlineLevel="0" collapsed="false">
      <c r="A209" s="6" t="s">
        <v>1730</v>
      </c>
      <c r="B209" s="8" t="str">
        <f aca="false">INDEX(Material_Master!$D$2:$D$1000,MATCH(A209,Material_Master!$A$2:$A$1000,0))</f>
        <v>Bathroom mirror / mirror cabinet</v>
      </c>
      <c r="C209" s="8" t="str">
        <f aca="false">INDEX(Material_Master!$F$2:$F$1000,MATCH(A209,Material_Master!$A$2:$A$1000,0))</f>
        <v>Nos</v>
      </c>
      <c r="D209" s="30"/>
      <c r="E209" s="31"/>
      <c r="F209" s="31"/>
      <c r="G209" s="12"/>
    </row>
    <row r="210" customFormat="false" ht="15" hidden="false" customHeight="false" outlineLevel="0" collapsed="false">
      <c r="A210" s="6" t="s">
        <v>1737</v>
      </c>
      <c r="B210" s="8" t="str">
        <f aca="false">INDEX(Material_Master!$D$2:$D$1000,MATCH(A210,Material_Master!$A$2:$A$1000,0))</f>
        <v>Shower glass partition / screen</v>
      </c>
      <c r="C210" s="8" t="str">
        <f aca="false">INDEX(Material_Master!$F$2:$F$1000,MATCH(A210,Material_Master!$A$2:$A$1000,0))</f>
        <v>sft</v>
      </c>
      <c r="D210" s="30"/>
      <c r="E210" s="31"/>
      <c r="F210" s="31"/>
      <c r="G210" s="12"/>
    </row>
    <row r="211" customFormat="false" ht="15" hidden="false" customHeight="false" outlineLevel="0" collapsed="false">
      <c r="A211" s="6" t="s">
        <v>1745</v>
      </c>
      <c r="B211" s="8" t="str">
        <f aca="false">INDEX(Material_Master!$D$2:$D$1000,MATCH(A211,Material_Master!$A$2:$A$1000,0))</f>
        <v>Linear shower drain (SS)</v>
      </c>
      <c r="C211" s="8" t="str">
        <f aca="false">INDEX(Material_Master!$F$2:$F$1000,MATCH(A211,Material_Master!$A$2:$A$1000,0))</f>
        <v>Nos</v>
      </c>
      <c r="D211" s="30"/>
      <c r="E211" s="31"/>
      <c r="F211" s="31"/>
      <c r="G211" s="12"/>
    </row>
    <row r="212" customFormat="false" ht="15" hidden="false" customHeight="false" outlineLevel="0" collapsed="false">
      <c r="A212" s="6" t="s">
        <v>1751</v>
      </c>
      <c r="B212" s="8" t="str">
        <f aca="false">INDEX(Material_Master!$D$2:$D$1000,MATCH(A212,Material_Master!$A$2:$A$1000,0))</f>
        <v>Washing machine tap + drain point</v>
      </c>
      <c r="C212" s="8" t="str">
        <f aca="false">INDEX(Material_Master!$F$2:$F$1000,MATCH(A212,Material_Master!$A$2:$A$1000,0))</f>
        <v>Nos</v>
      </c>
      <c r="D212" s="30"/>
      <c r="E212" s="31"/>
      <c r="F212" s="31"/>
      <c r="G212" s="12"/>
    </row>
    <row r="213" customFormat="false" ht="15" hidden="false" customHeight="false" outlineLevel="0" collapsed="false">
      <c r="A213" s="6" t="s">
        <v>1759</v>
      </c>
      <c r="B213" s="8" t="str">
        <f aca="false">INDEX(Material_Master!$D$2:$D$1000,MATCH(A213,Material_Master!$A$2:$A$1000,0))</f>
        <v>Bib cocks / garden taps</v>
      </c>
      <c r="C213" s="8" t="str">
        <f aca="false">INDEX(Material_Master!$F$2:$F$1000,MATCH(A213,Material_Master!$A$2:$A$1000,0))</f>
        <v>Nos</v>
      </c>
      <c r="D213" s="30"/>
      <c r="E213" s="31"/>
      <c r="F213" s="31"/>
      <c r="G213" s="12"/>
    </row>
    <row r="214" customFormat="false" ht="15" hidden="false" customHeight="false" outlineLevel="0" collapsed="false">
      <c r="A214" s="6" t="s">
        <v>1766</v>
      </c>
      <c r="B214" s="8" t="str">
        <f aca="false">INDEX(Material_Master!$D$2:$D$1000,MATCH(A214,Material_Master!$A$2:$A$1000,0))</f>
        <v>Gas/electric water heater (geyser) 35-55 gal or instant</v>
      </c>
      <c r="C214" s="8" t="str">
        <f aca="false">INDEX(Material_Master!$F$2:$F$1000,MATCH(A214,Material_Master!$A$2:$A$1000,0))</f>
        <v>Nos</v>
      </c>
      <c r="D214" s="30"/>
      <c r="E214" s="31"/>
      <c r="F214" s="31"/>
      <c r="G214" s="12"/>
    </row>
    <row r="215" customFormat="false" ht="15" hidden="false" customHeight="false" outlineLevel="0" collapsed="false">
      <c r="A215" s="6" t="s">
        <v>1773</v>
      </c>
      <c r="B215" s="8" t="str">
        <f aca="false">INDEX(Material_Master!$D$2:$D$1000,MATCH(A215,Material_Master!$A$2:$A$1000,0))</f>
        <v>Solar water heater (evacuated tube) - optional</v>
      </c>
      <c r="C215" s="8" t="str">
        <f aca="false">INDEX(Material_Master!$F$2:$F$1000,MATCH(A215,Material_Master!$A$2:$A$1000,0))</f>
        <v>Nos</v>
      </c>
      <c r="D215" s="30"/>
      <c r="E215" s="31"/>
      <c r="F215" s="31"/>
      <c r="G215" s="12"/>
    </row>
    <row r="216" customFormat="false" ht="22.35" hidden="false" customHeight="false" outlineLevel="0" collapsed="false">
      <c r="A216" s="6" t="s">
        <v>1779</v>
      </c>
      <c r="B216" s="8" t="str">
        <f aca="false">INDEX(Material_Master!$D$2:$D$1000,MATCH(A216,Material_Master!$A$2:$A$1000,0))</f>
        <v>Pumps: booster pump, submersible/suction (UG-&gt;OH), hot water recirculation pump</v>
      </c>
      <c r="C216" s="8" t="str">
        <f aca="false">INDEX(Material_Master!$F$2:$F$1000,MATCH(A216,Material_Master!$A$2:$A$1000,0))</f>
        <v>Nos</v>
      </c>
      <c r="D216" s="30"/>
      <c r="E216" s="31"/>
      <c r="F216" s="31"/>
      <c r="G216" s="12"/>
    </row>
    <row r="217" customFormat="false" ht="22.35" hidden="false" customHeight="false" outlineLevel="0" collapsed="false">
      <c r="A217" s="6" t="s">
        <v>1786</v>
      </c>
      <c r="B217" s="8" t="str">
        <f aca="false">INDEX(Material_Master!$D$2:$D$1000,MATCH(A217,Material_Master!$A$2:$A$1000,0))</f>
        <v>Overhead water tank 600 gal FG with GRP cover (or polyethylene)</v>
      </c>
      <c r="C217" s="8" t="str">
        <f aca="false">INDEX(Material_Master!$F$2:$F$1000,MATCH(A217,Material_Master!$A$2:$A$1000,0))</f>
        <v>Nos</v>
      </c>
      <c r="D217" s="30"/>
      <c r="E217" s="31"/>
      <c r="F217" s="31"/>
      <c r="G217" s="12"/>
    </row>
    <row r="218" customFormat="false" ht="15" hidden="false" customHeight="false" outlineLevel="0" collapsed="false">
      <c r="A218" s="6" t="s">
        <v>1795</v>
      </c>
      <c r="B218" s="8" t="str">
        <f aca="false">INDEX(Material_Master!$D$2:$D$1000,MATCH(A218,Material_Master!$A$2:$A$1000,0))</f>
        <v>GI pipe (medium class) 1/2-3/4in</v>
      </c>
      <c r="C218" s="8" t="str">
        <f aca="false">INDEX(Material_Master!$F$2:$F$1000,MATCH(A218,Material_Master!$A$2:$A$1000,0))</f>
        <v>rft</v>
      </c>
      <c r="D218" s="30"/>
      <c r="E218" s="31"/>
      <c r="F218" s="31"/>
      <c r="G218" s="12"/>
    </row>
    <row r="219" customFormat="false" ht="15" hidden="false" customHeight="false" outlineLevel="0" collapsed="false">
      <c r="A219" s="6" t="s">
        <v>1806</v>
      </c>
      <c r="B219" s="8" t="str">
        <f aca="false">INDEX(Material_Master!$D$2:$D$1000,MATCH(A219,Material_Master!$A$2:$A$1000,0))</f>
        <v>GI threaded fittings (elbows, tees, sockets, unions)</v>
      </c>
      <c r="C219" s="8" t="str">
        <f aca="false">INDEX(Material_Master!$F$2:$F$1000,MATCH(A219,Material_Master!$A$2:$A$1000,0))</f>
        <v>Nos</v>
      </c>
      <c r="D219" s="30"/>
      <c r="E219" s="31"/>
      <c r="F219" s="31"/>
      <c r="G219" s="12"/>
    </row>
    <row r="220" customFormat="false" ht="15" hidden="false" customHeight="false" outlineLevel="0" collapsed="false">
      <c r="A220" s="6" t="s">
        <v>1811</v>
      </c>
      <c r="B220" s="8" t="str">
        <f aca="false">INDEX(Material_Master!$D$2:$D$1000,MATCH(A220,Material_Master!$A$2:$A$1000,0))</f>
        <v>Gas cock/ball valve with nozzle</v>
      </c>
      <c r="C220" s="8" t="str">
        <f aca="false">INDEX(Material_Master!$F$2:$F$1000,MATCH(A220,Material_Master!$A$2:$A$1000,0))</f>
        <v>Nos</v>
      </c>
      <c r="D220" s="30"/>
      <c r="E220" s="31"/>
      <c r="F220" s="31"/>
      <c r="G220" s="12"/>
    </row>
    <row r="221" customFormat="false" ht="15" hidden="false" customHeight="false" outlineLevel="0" collapsed="false">
      <c r="A221" s="6" t="s">
        <v>1816</v>
      </c>
      <c r="B221" s="8" t="str">
        <f aca="false">INDEX(Material_Master!$D$2:$D$1000,MATCH(A221,Material_Master!$A$2:$A$1000,0))</f>
        <v>Anti-corrosion wrapping tape (buried GI)</v>
      </c>
      <c r="C221" s="8" t="str">
        <f aca="false">INDEX(Material_Master!$F$2:$F$1000,MATCH(A221,Material_Master!$A$2:$A$1000,0))</f>
        <v>rft</v>
      </c>
      <c r="D221" s="30"/>
      <c r="E221" s="31"/>
      <c r="F221" s="31"/>
      <c r="G221" s="12"/>
    </row>
    <row r="222" customFormat="false" ht="15" hidden="false" customHeight="false" outlineLevel="0" collapsed="false">
      <c r="A222" s="6" t="s">
        <v>1824</v>
      </c>
      <c r="B222" s="8" t="str">
        <f aca="false">INDEX(Material_Master!$D$2:$D$1000,MATCH(A222,Material_Master!$A$2:$A$1000,0))</f>
        <v>Gas meter platform / meter box &amp; regulator connection</v>
      </c>
      <c r="C222" s="8" t="str">
        <f aca="false">INDEX(Material_Master!$F$2:$F$1000,MATCH(A222,Material_Master!$A$2:$A$1000,0))</f>
        <v>LS</v>
      </c>
      <c r="D222" s="30"/>
      <c r="E222" s="31"/>
      <c r="F222" s="31"/>
      <c r="G222" s="12"/>
    </row>
    <row r="223" customFormat="false" ht="22.35" hidden="false" customHeight="false" outlineLevel="0" collapsed="false">
      <c r="A223" s="6" t="s">
        <v>1833</v>
      </c>
      <c r="B223" s="8" t="str">
        <f aca="false">INDEX(Material_Master!$D$2:$D$1000,MATCH(A223,Material_Master!$A$2:$A$1000,0))</f>
        <v>LPG cylinder manifold + regulator + copper/rubber hose kit (alternative)</v>
      </c>
      <c r="C223" s="8" t="str">
        <f aca="false">INDEX(Material_Master!$F$2:$F$1000,MATCH(A223,Material_Master!$A$2:$A$1000,0))</f>
        <v>set</v>
      </c>
      <c r="D223" s="30"/>
      <c r="E223" s="31"/>
      <c r="F223" s="31"/>
      <c r="G223" s="12"/>
    </row>
    <row r="224" customFormat="false" ht="15" hidden="false" customHeight="false" outlineLevel="0" collapsed="false">
      <c r="A224" s="6" t="s">
        <v>1840</v>
      </c>
      <c r="B224" s="8" t="str">
        <f aca="false">INDEX(Material_Master!$D$2:$D$1000,MATCH(A224,Material_Master!$A$2:$A$1000,0))</f>
        <v>PVC conduit 3/4in (20/25 mm) heavy gauge</v>
      </c>
      <c r="C224" s="8" t="str">
        <f aca="false">INDEX(Material_Master!$F$2:$F$1000,MATCH(A224,Material_Master!$A$2:$A$1000,0))</f>
        <v>rft</v>
      </c>
      <c r="D224" s="30"/>
      <c r="E224" s="31"/>
      <c r="F224" s="31"/>
      <c r="G224" s="12"/>
    </row>
    <row r="225" customFormat="false" ht="15" hidden="false" customHeight="false" outlineLevel="0" collapsed="false">
      <c r="A225" s="6" t="s">
        <v>1855</v>
      </c>
      <c r="B225" s="8" t="str">
        <f aca="false">INDEX(Material_Master!$D$2:$D$1000,MATCH(A225,Material_Master!$A$2:$A$1000,0))</f>
        <v>PVC conduit 1in (32 mm)</v>
      </c>
      <c r="C225" s="8" t="str">
        <f aca="false">INDEX(Material_Master!$F$2:$F$1000,MATCH(A225,Material_Master!$A$2:$A$1000,0))</f>
        <v>rft</v>
      </c>
      <c r="D225" s="30"/>
      <c r="E225" s="31"/>
      <c r="F225" s="31"/>
      <c r="G225" s="12"/>
    </row>
    <row r="226" customFormat="false" ht="15" hidden="false" customHeight="false" outlineLevel="0" collapsed="false">
      <c r="A226" s="6" t="s">
        <v>1862</v>
      </c>
      <c r="B226" s="8" t="str">
        <f aca="false">INDEX(Material_Master!$D$2:$D$1000,MATCH(A226,Material_Master!$A$2:$A$1000,0))</f>
        <v>Flexible conduit / GI conduit (exposed/outdoor)</v>
      </c>
      <c r="C226" s="8" t="str">
        <f aca="false">INDEX(Material_Master!$F$2:$F$1000,MATCH(A226,Material_Master!$A$2:$A$1000,0))</f>
        <v>rft</v>
      </c>
      <c r="D226" s="30"/>
      <c r="E226" s="31"/>
      <c r="F226" s="31"/>
      <c r="G226" s="12"/>
    </row>
    <row r="227" customFormat="false" ht="22.35" hidden="false" customHeight="false" outlineLevel="0" collapsed="false">
      <c r="A227" s="6" t="s">
        <v>1868</v>
      </c>
      <c r="B227" s="8" t="str">
        <f aca="false">INDEX(Material_Master!$D$2:$D$1000,MATCH(A227,Material_Master!$A$2:$A$1000,0))</f>
        <v>Conduit fittings (bends, couplers, circular/junction boxes, saddles)</v>
      </c>
      <c r="C227" s="8" t="str">
        <f aca="false">INDEX(Material_Master!$F$2:$F$1000,MATCH(A227,Material_Master!$A$2:$A$1000,0))</f>
        <v>Nos</v>
      </c>
      <c r="D227" s="30"/>
      <c r="E227" s="31"/>
      <c r="F227" s="31"/>
      <c r="G227" s="12"/>
    </row>
    <row r="228" customFormat="false" ht="15" hidden="false" customHeight="false" outlineLevel="0" collapsed="false">
      <c r="A228" s="6" t="s">
        <v>1875</v>
      </c>
      <c r="B228" s="8" t="str">
        <f aca="false">INDEX(Material_Master!$D$2:$D$1000,MATCH(A228,Material_Master!$A$2:$A$1000,0))</f>
        <v>Switch/socket back boxes (GI/PVC) 3x3, 3x6, 4x4</v>
      </c>
      <c r="C228" s="8" t="str">
        <f aca="false">INDEX(Material_Master!$F$2:$F$1000,MATCH(A228,Material_Master!$A$2:$A$1000,0))</f>
        <v>Nos</v>
      </c>
      <c r="D228" s="30"/>
      <c r="E228" s="31"/>
      <c r="F228" s="31"/>
      <c r="G228" s="12"/>
    </row>
    <row r="229" customFormat="false" ht="15" hidden="false" customHeight="false" outlineLevel="0" collapsed="false">
      <c r="A229" s="6" t="s">
        <v>1881</v>
      </c>
      <c r="B229" s="8" t="str">
        <f aca="false">INDEX(Material_Master!$D$2:$D$1000,MATCH(A229,Material_Master!$A$2:$A$1000,0))</f>
        <v>PVC insulated copper wire 3/29 (~1.5 mm2)</v>
      </c>
      <c r="C229" s="8" t="str">
        <f aca="false">INDEX(Material_Master!$F$2:$F$1000,MATCH(A229,Material_Master!$A$2:$A$1000,0))</f>
        <v>m</v>
      </c>
      <c r="D229" s="30"/>
      <c r="E229" s="31"/>
      <c r="F229" s="31"/>
      <c r="G229" s="12"/>
    </row>
    <row r="230" customFormat="false" ht="15" hidden="false" customHeight="false" outlineLevel="0" collapsed="false">
      <c r="A230" s="6" t="s">
        <v>1893</v>
      </c>
      <c r="B230" s="8" t="str">
        <f aca="false">INDEX(Material_Master!$D$2:$D$1000,MATCH(A230,Material_Master!$A$2:$A$1000,0))</f>
        <v>PVC insulated copper wire 7/29 (~2.5 mm2)</v>
      </c>
      <c r="C230" s="8" t="str">
        <f aca="false">INDEX(Material_Master!$F$2:$F$1000,MATCH(A230,Material_Master!$A$2:$A$1000,0))</f>
        <v>m</v>
      </c>
      <c r="D230" s="30"/>
      <c r="E230" s="31"/>
      <c r="F230" s="31"/>
      <c r="G230" s="12"/>
    </row>
    <row r="231" customFormat="false" ht="15" hidden="false" customHeight="false" outlineLevel="0" collapsed="false">
      <c r="A231" s="6" t="s">
        <v>1900</v>
      </c>
      <c r="B231" s="8" t="str">
        <f aca="false">INDEX(Material_Master!$D$2:$D$1000,MATCH(A231,Material_Master!$A$2:$A$1000,0))</f>
        <v>PVC insulated copper wire 7/36 (~4 mm2)</v>
      </c>
      <c r="C231" s="8" t="str">
        <f aca="false">INDEX(Material_Master!$F$2:$F$1000,MATCH(A231,Material_Master!$A$2:$A$1000,0))</f>
        <v>m</v>
      </c>
      <c r="D231" s="30"/>
      <c r="E231" s="31"/>
      <c r="F231" s="31"/>
      <c r="G231" s="12"/>
    </row>
    <row r="232" customFormat="false" ht="15" hidden="false" customHeight="false" outlineLevel="0" collapsed="false">
      <c r="A232" s="6" t="s">
        <v>1906</v>
      </c>
      <c r="B232" s="8" t="str">
        <f aca="false">INDEX(Material_Master!$D$2:$D$1000,MATCH(A232,Material_Master!$A$2:$A$1000,0))</f>
        <v>PVC insulated copper wire 7/44 (~6 mm2)</v>
      </c>
      <c r="C232" s="8" t="str">
        <f aca="false">INDEX(Material_Master!$F$2:$F$1000,MATCH(A232,Material_Master!$A$2:$A$1000,0))</f>
        <v>m</v>
      </c>
      <c r="D232" s="30"/>
      <c r="E232" s="31"/>
      <c r="F232" s="31"/>
      <c r="G232" s="12"/>
    </row>
    <row r="233" customFormat="false" ht="22.35" hidden="false" customHeight="false" outlineLevel="0" collapsed="false">
      <c r="A233" s="6" t="s">
        <v>1913</v>
      </c>
      <c r="B233" s="8" t="str">
        <f aca="false">INDEX(Material_Master!$D$2:$D$1000,MATCH(A233,Material_Master!$A$2:$A$1000,0))</f>
        <v>Main incoming cable 2-core 10-16 mm2 Cu (meter to main DB)</v>
      </c>
      <c r="C233" s="8" t="str">
        <f aca="false">INDEX(Material_Master!$F$2:$F$1000,MATCH(A233,Material_Master!$A$2:$A$1000,0))</f>
        <v>m</v>
      </c>
      <c r="D233" s="30"/>
      <c r="E233" s="31"/>
      <c r="F233" s="31"/>
      <c r="G233" s="12"/>
    </row>
    <row r="234" customFormat="false" ht="15" hidden="false" customHeight="false" outlineLevel="0" collapsed="false">
      <c r="A234" s="6" t="s">
        <v>1924</v>
      </c>
      <c r="B234" s="8" t="str">
        <f aca="false">INDEX(Material_Master!$D$2:$D$1000,MATCH(A234,Material_Master!$A$2:$A$1000,0))</f>
        <v>Earth continuity wire 3/29-7/29 (green/yellow)</v>
      </c>
      <c r="C234" s="8" t="str">
        <f aca="false">INDEX(Material_Master!$F$2:$F$1000,MATCH(A234,Material_Master!$A$2:$A$1000,0))</f>
        <v>m</v>
      </c>
      <c r="D234" s="30"/>
      <c r="E234" s="31"/>
      <c r="F234" s="31"/>
      <c r="G234" s="12"/>
    </row>
    <row r="235" customFormat="false" ht="22.35" hidden="false" customHeight="false" outlineLevel="0" collapsed="false">
      <c r="A235" s="6" t="s">
        <v>1933</v>
      </c>
      <c r="B235" s="8" t="str">
        <f aca="false">INDEX(Material_Master!$D$2:$D$1000,MATCH(A235,Material_Master!$A$2:$A$1000,0))</f>
        <v>Earth electrode set: tinned copper spike + 10 ft GI pipe, charcoal &amp; salt, inspection chamber</v>
      </c>
      <c r="C235" s="8" t="str">
        <f aca="false">INDEX(Material_Master!$F$2:$F$1000,MATCH(A235,Material_Master!$A$2:$A$1000,0))</f>
        <v>set</v>
      </c>
      <c r="D235" s="30"/>
      <c r="E235" s="31"/>
      <c r="F235" s="31"/>
      <c r="G235" s="12"/>
    </row>
    <row r="236" customFormat="false" ht="15" hidden="false" customHeight="false" outlineLevel="0" collapsed="false">
      <c r="A236" s="6" t="s">
        <v>1943</v>
      </c>
      <c r="B236" s="8" t="str">
        <f aca="false">INDEX(Material_Master!$D$2:$D$1000,MATCH(A236,Material_Master!$A$2:$A$1000,0))</f>
        <v>Bare copper earth conductor / tape</v>
      </c>
      <c r="C236" s="8" t="str">
        <f aca="false">INDEX(Material_Master!$F$2:$F$1000,MATCH(A236,Material_Master!$A$2:$A$1000,0))</f>
        <v>m</v>
      </c>
      <c r="D236" s="30"/>
      <c r="E236" s="31"/>
      <c r="F236" s="31"/>
      <c r="G236" s="12"/>
    </row>
    <row r="237" customFormat="false" ht="22.35" hidden="false" customHeight="false" outlineLevel="0" collapsed="false">
      <c r="A237" s="6" t="s">
        <v>1949</v>
      </c>
      <c r="B237" s="8" t="str">
        <f aca="false">INDEX(Material_Master!$D$2:$D$1000,MATCH(A237,Material_Master!$A$2:$A$1000,0))</f>
        <v>Distribution board (main &amp; floor sub-DBs), flush, with busbar</v>
      </c>
      <c r="C237" s="8" t="str">
        <f aca="false">INDEX(Material_Master!$F$2:$F$1000,MATCH(A237,Material_Master!$A$2:$A$1000,0))</f>
        <v>Nos</v>
      </c>
      <c r="D237" s="30"/>
      <c r="E237" s="31"/>
      <c r="F237" s="31"/>
      <c r="G237" s="12"/>
    </row>
    <row r="238" customFormat="false" ht="15" hidden="false" customHeight="false" outlineLevel="0" collapsed="false">
      <c r="A238" s="6" t="s">
        <v>1959</v>
      </c>
      <c r="B238" s="8" t="str">
        <f aca="false">INDEX(Material_Master!$D$2:$D$1000,MATCH(A238,Material_Master!$A$2:$A$1000,0))</f>
        <v>MCBs single-pole 6-32A</v>
      </c>
      <c r="C238" s="8" t="str">
        <f aca="false">INDEX(Material_Master!$F$2:$F$1000,MATCH(A238,Material_Master!$A$2:$A$1000,0))</f>
        <v>Nos</v>
      </c>
      <c r="D238" s="30"/>
      <c r="E238" s="31"/>
      <c r="F238" s="31"/>
      <c r="G238" s="12"/>
    </row>
    <row r="239" customFormat="false" ht="15" hidden="false" customHeight="false" outlineLevel="0" collapsed="false">
      <c r="A239" s="6" t="s">
        <v>1968</v>
      </c>
      <c r="B239" s="8" t="str">
        <f aca="false">INDEX(Material_Master!$D$2:$D$1000,MATCH(A239,Material_Master!$A$2:$A$1000,0))</f>
        <v>Main isolator / DP MCB 40-63A</v>
      </c>
      <c r="C239" s="8" t="str">
        <f aca="false">INDEX(Material_Master!$F$2:$F$1000,MATCH(A239,Material_Master!$A$2:$A$1000,0))</f>
        <v>Nos</v>
      </c>
      <c r="D239" s="30"/>
      <c r="E239" s="31"/>
      <c r="F239" s="31"/>
      <c r="G239" s="12"/>
    </row>
    <row r="240" customFormat="false" ht="15" hidden="false" customHeight="false" outlineLevel="0" collapsed="false">
      <c r="A240" s="6" t="s">
        <v>1976</v>
      </c>
      <c r="B240" s="8" t="str">
        <f aca="false">INDEX(Material_Master!$D$2:$D$1000,MATCH(A240,Material_Master!$A$2:$A$1000,0))</f>
        <v>RCCB/RCBO 30 mA</v>
      </c>
      <c r="C240" s="8" t="str">
        <f aca="false">INDEX(Material_Master!$F$2:$F$1000,MATCH(A240,Material_Master!$A$2:$A$1000,0))</f>
        <v>Nos</v>
      </c>
      <c r="D240" s="30"/>
      <c r="E240" s="31"/>
      <c r="F240" s="31"/>
      <c r="G240" s="12"/>
    </row>
    <row r="241" customFormat="false" ht="15" hidden="false" customHeight="false" outlineLevel="0" collapsed="false">
      <c r="A241" s="6" t="s">
        <v>1982</v>
      </c>
      <c r="B241" s="8" t="str">
        <f aca="false">INDEX(Material_Master!$D$2:$D$1000,MATCH(A241,Material_Master!$A$2:$A$1000,0))</f>
        <v>Changeover switch (manual/ATS) for UPS/generator/solar</v>
      </c>
      <c r="C241" s="8" t="str">
        <f aca="false">INDEX(Material_Master!$F$2:$F$1000,MATCH(A241,Material_Master!$A$2:$A$1000,0))</f>
        <v>Nos</v>
      </c>
      <c r="D241" s="30"/>
      <c r="E241" s="31"/>
      <c r="F241" s="31"/>
      <c r="G241" s="12"/>
    </row>
    <row r="242" customFormat="false" ht="15" hidden="false" customHeight="false" outlineLevel="0" collapsed="false">
      <c r="A242" s="6" t="s">
        <v>1989</v>
      </c>
      <c r="B242" s="8" t="str">
        <f aca="false">INDEX(Material_Master!$D$2:$D$1000,MATCH(A242,Material_Master!$A$2:$A$1000,0))</f>
        <v>Surge protection device (SPD) Type 2</v>
      </c>
      <c r="C242" s="8" t="str">
        <f aca="false">INDEX(Material_Master!$F$2:$F$1000,MATCH(A242,Material_Master!$A$2:$A$1000,0))</f>
        <v>Nos</v>
      </c>
      <c r="D242" s="30"/>
      <c r="E242" s="31"/>
      <c r="F242" s="31"/>
      <c r="G242" s="12"/>
    </row>
    <row r="243" customFormat="false" ht="15" hidden="false" customHeight="false" outlineLevel="0" collapsed="false">
      <c r="A243" s="6" t="s">
        <v>1995</v>
      </c>
      <c r="B243" s="8" t="str">
        <f aca="false">INDEX(Material_Master!$D$2:$D$1000,MATCH(A243,Material_Master!$A$2:$A$1000,0))</f>
        <v>Switches 1-way/2-way 10A (incl. plates)</v>
      </c>
      <c r="C243" s="8" t="str">
        <f aca="false">INDEX(Material_Master!$F$2:$F$1000,MATCH(A243,Material_Master!$A$2:$A$1000,0))</f>
        <v>Nos</v>
      </c>
      <c r="D243" s="30"/>
      <c r="E243" s="31"/>
      <c r="F243" s="31"/>
      <c r="G243" s="12"/>
    </row>
    <row r="244" customFormat="false" ht="15" hidden="false" customHeight="false" outlineLevel="0" collapsed="false">
      <c r="A244" s="6" t="s">
        <v>2002</v>
      </c>
      <c r="B244" s="8" t="str">
        <f aca="false">INDEX(Material_Master!$D$2:$D$1000,MATCH(A244,Material_Master!$A$2:$A$1000,0))</f>
        <v>13A switched socket outlet (2x13A where shown)</v>
      </c>
      <c r="C244" s="8" t="str">
        <f aca="false">INDEX(Material_Master!$F$2:$F$1000,MATCH(A244,Material_Master!$A$2:$A$1000,0))</f>
        <v>Nos</v>
      </c>
      <c r="D244" s="30"/>
      <c r="E244" s="31"/>
      <c r="F244" s="31"/>
      <c r="G244" s="12"/>
    </row>
    <row r="245" customFormat="false" ht="15" hidden="false" customHeight="false" outlineLevel="0" collapsed="false">
      <c r="A245" s="6" t="s">
        <v>2010</v>
      </c>
      <c r="B245" s="8" t="str">
        <f aca="false">INDEX(Material_Master!$D$2:$D$1000,MATCH(A245,Material_Master!$A$2:$A$1000,0))</f>
        <v>15A switched socket</v>
      </c>
      <c r="C245" s="8" t="str">
        <f aca="false">INDEX(Material_Master!$F$2:$F$1000,MATCH(A245,Material_Master!$A$2:$A$1000,0))</f>
        <v>Nos</v>
      </c>
      <c r="D245" s="30"/>
      <c r="E245" s="31"/>
      <c r="F245" s="31"/>
      <c r="G245" s="12"/>
    </row>
    <row r="246" customFormat="false" ht="15" hidden="false" customHeight="false" outlineLevel="0" collapsed="false">
      <c r="A246" s="6" t="s">
        <v>2017</v>
      </c>
      <c r="B246" s="8" t="str">
        <f aca="false">INDEX(Material_Master!$D$2:$D$1000,MATCH(A246,Material_Master!$A$2:$A$1000,0))</f>
        <v>AC isolator switch 20-32A DP</v>
      </c>
      <c r="C246" s="8" t="str">
        <f aca="false">INDEX(Material_Master!$F$2:$F$1000,MATCH(A246,Material_Master!$A$2:$A$1000,0))</f>
        <v>Nos</v>
      </c>
      <c r="D246" s="30"/>
      <c r="E246" s="31"/>
      <c r="F246" s="31"/>
      <c r="G246" s="12"/>
    </row>
    <row r="247" customFormat="false" ht="15" hidden="false" customHeight="false" outlineLevel="0" collapsed="false">
      <c r="A247" s="6" t="s">
        <v>2022</v>
      </c>
      <c r="B247" s="8" t="str">
        <f aca="false">INDEX(Material_Master!$D$2:$D$1000,MATCH(A247,Material_Master!$A$2:$A$1000,0))</f>
        <v>Cooker socket &amp; switch / fridge socket &amp; switch</v>
      </c>
      <c r="C247" s="8" t="str">
        <f aca="false">INDEX(Material_Master!$F$2:$F$1000,MATCH(A247,Material_Master!$A$2:$A$1000,0))</f>
        <v>Nos</v>
      </c>
      <c r="D247" s="30"/>
      <c r="E247" s="31"/>
      <c r="F247" s="31"/>
      <c r="G247" s="12"/>
    </row>
    <row r="248" customFormat="false" ht="15" hidden="false" customHeight="false" outlineLevel="0" collapsed="false">
      <c r="A248" s="6" t="s">
        <v>2029</v>
      </c>
      <c r="B248" s="8" t="str">
        <f aca="false">INDEX(Material_Master!$D$2:$D$1000,MATCH(A248,Material_Master!$A$2:$A$1000,0))</f>
        <v>Water heater DP switch 20A with neon</v>
      </c>
      <c r="C248" s="8" t="str">
        <f aca="false">INDEX(Material_Master!$F$2:$F$1000,MATCH(A248,Material_Master!$A$2:$A$1000,0))</f>
        <v>Nos</v>
      </c>
      <c r="D248" s="30"/>
      <c r="E248" s="31"/>
      <c r="F248" s="31"/>
      <c r="G248" s="12"/>
    </row>
    <row r="249" customFormat="false" ht="15" hidden="false" customHeight="false" outlineLevel="0" collapsed="false">
      <c r="A249" s="6" t="s">
        <v>2034</v>
      </c>
      <c r="B249" s="8" t="str">
        <f aca="false">INDEX(Material_Master!$D$2:$D$1000,MATCH(A249,Material_Master!$A$2:$A$1000,0))</f>
        <v>Fan regulator (electronic/step)</v>
      </c>
      <c r="C249" s="8" t="str">
        <f aca="false">INDEX(Material_Master!$F$2:$F$1000,MATCH(A249,Material_Master!$A$2:$A$1000,0))</f>
        <v>Nos</v>
      </c>
      <c r="D249" s="30"/>
      <c r="E249" s="31"/>
      <c r="F249" s="31"/>
      <c r="G249" s="12"/>
    </row>
    <row r="250" customFormat="false" ht="15" hidden="false" customHeight="false" outlineLevel="0" collapsed="false">
      <c r="A250" s="6" t="s">
        <v>2040</v>
      </c>
      <c r="B250" s="8" t="str">
        <f aca="false">INDEX(Material_Master!$D$2:$D$1000,MATCH(A250,Material_Master!$A$2:$A$1000,0))</f>
        <v>Bell push + door bell / chime</v>
      </c>
      <c r="C250" s="8" t="str">
        <f aca="false">INDEX(Material_Master!$F$2:$F$1000,MATCH(A250,Material_Master!$A$2:$A$1000,0))</f>
        <v>Nos</v>
      </c>
      <c r="D250" s="30"/>
      <c r="E250" s="31"/>
      <c r="F250" s="31"/>
      <c r="G250" s="12"/>
    </row>
    <row r="251" customFormat="false" ht="15" hidden="false" customHeight="false" outlineLevel="0" collapsed="false">
      <c r="A251" s="6" t="s">
        <v>2044</v>
      </c>
      <c r="B251" s="8" t="str">
        <f aca="false">INDEX(Material_Master!$D$2:$D$1000,MATCH(A251,Material_Master!$A$2:$A$1000,0))</f>
        <v>TV coaxial cable RG6 + TV outlet</v>
      </c>
      <c r="C251" s="8" t="str">
        <f aca="false">INDEX(Material_Master!$F$2:$F$1000,MATCH(A251,Material_Master!$A$2:$A$1000,0))</f>
        <v>m</v>
      </c>
      <c r="D251" s="30"/>
      <c r="E251" s="31"/>
      <c r="F251" s="31"/>
      <c r="G251" s="12"/>
    </row>
    <row r="252" customFormat="false" ht="15" hidden="false" customHeight="false" outlineLevel="0" collapsed="false">
      <c r="A252" s="6" t="s">
        <v>2052</v>
      </c>
      <c r="B252" s="8" t="str">
        <f aca="false">INDEX(Material_Master!$D$2:$D$1000,MATCH(A252,Material_Master!$A$2:$A$1000,0))</f>
        <v>CAT6 UTP cable + RJ45 data outlet</v>
      </c>
      <c r="C252" s="8" t="str">
        <f aca="false">INDEX(Material_Master!$F$2:$F$1000,MATCH(A252,Material_Master!$A$2:$A$1000,0))</f>
        <v>m</v>
      </c>
      <c r="D252" s="30"/>
      <c r="E252" s="31"/>
      <c r="F252" s="31"/>
      <c r="G252" s="12"/>
    </row>
    <row r="253" customFormat="false" ht="15" hidden="false" customHeight="false" outlineLevel="0" collapsed="false">
      <c r="A253" s="6" t="s">
        <v>2061</v>
      </c>
      <c r="B253" s="8" t="str">
        <f aca="false">INDEX(Material_Master!$D$2:$D$1000,MATCH(A253,Material_Master!$A$2:$A$1000,0))</f>
        <v>Intercom / video door phone set + cable</v>
      </c>
      <c r="C253" s="8" t="str">
        <f aca="false">INDEX(Material_Master!$F$2:$F$1000,MATCH(A253,Material_Master!$A$2:$A$1000,0))</f>
        <v>set</v>
      </c>
      <c r="D253" s="30"/>
      <c r="E253" s="31"/>
      <c r="F253" s="31"/>
      <c r="G253" s="12"/>
    </row>
    <row r="254" customFormat="false" ht="22.35" hidden="false" customHeight="false" outlineLevel="0" collapsed="false">
      <c r="A254" s="6" t="s">
        <v>2066</v>
      </c>
      <c r="B254" s="8" t="str">
        <f aca="false">INDEX(Material_Master!$D$2:$D$1000,MATCH(A254,Material_Master!$A$2:$A$1000,0))</f>
        <v>CCTV provision (conduit, cable, camera points, NVR location)</v>
      </c>
      <c r="C254" s="8" t="str">
        <f aca="false">INDEX(Material_Master!$F$2:$F$1000,MATCH(A254,Material_Master!$A$2:$A$1000,0))</f>
        <v>Nos</v>
      </c>
      <c r="D254" s="30"/>
      <c r="E254" s="31"/>
      <c r="F254" s="31"/>
      <c r="G254" s="12"/>
    </row>
    <row r="255" customFormat="false" ht="15" hidden="false" customHeight="false" outlineLevel="0" collapsed="false">
      <c r="A255" s="6" t="s">
        <v>2071</v>
      </c>
      <c r="B255" s="8" t="str">
        <f aca="false">INDEX(Material_Master!$D$2:$D$1000,MATCH(A255,Material_Master!$A$2:$A$1000,0))</f>
        <v>LED panel/down lights (recessed/surface)</v>
      </c>
      <c r="C255" s="8" t="str">
        <f aca="false">INDEX(Material_Master!$F$2:$F$1000,MATCH(A255,Material_Master!$A$2:$A$1000,0))</f>
        <v>Nos</v>
      </c>
      <c r="D255" s="30"/>
      <c r="E255" s="31"/>
      <c r="F255" s="31"/>
      <c r="G255" s="12"/>
    </row>
    <row r="256" customFormat="false" ht="15" hidden="false" customHeight="false" outlineLevel="0" collapsed="false">
      <c r="A256" s="6" t="s">
        <v>2078</v>
      </c>
      <c r="B256" s="8" t="str">
        <f aca="false">INDEX(Material_Master!$D$2:$D$1000,MATCH(A256,Material_Master!$A$2:$A$1000,0))</f>
        <v>LED tube light fittings (double)</v>
      </c>
      <c r="C256" s="8" t="str">
        <f aca="false">INDEX(Material_Master!$F$2:$F$1000,MATCH(A256,Material_Master!$A$2:$A$1000,0))</f>
        <v>Nos</v>
      </c>
      <c r="D256" s="30"/>
      <c r="E256" s="31"/>
      <c r="F256" s="31"/>
      <c r="G256" s="12"/>
    </row>
    <row r="257" customFormat="false" ht="15" hidden="false" customHeight="false" outlineLevel="0" collapsed="false">
      <c r="A257" s="6" t="s">
        <v>2083</v>
      </c>
      <c r="B257" s="8" t="str">
        <f aca="false">INDEX(Material_Master!$D$2:$D$1000,MATCH(A257,Material_Master!$A$2:$A$1000,0))</f>
        <v>Decorative: chandelier, wall lights, mirror lights, step lights</v>
      </c>
      <c r="C257" s="8" t="str">
        <f aca="false">INDEX(Material_Master!$F$2:$F$1000,MATCH(A257,Material_Master!$A$2:$A$1000,0))</f>
        <v>Nos</v>
      </c>
      <c r="D257" s="30"/>
      <c r="E257" s="31"/>
      <c r="F257" s="31"/>
      <c r="G257" s="12"/>
    </row>
    <row r="258" customFormat="false" ht="15" hidden="false" customHeight="false" outlineLevel="0" collapsed="false">
      <c r="A258" s="6" t="s">
        <v>2090</v>
      </c>
      <c r="B258" s="8" t="str">
        <f aca="false">INDEX(Material_Master!$D$2:$D$1000,MATCH(A258,Material_Master!$A$2:$A$1000,0))</f>
        <v>Weatherproof external wall lights / gate lights</v>
      </c>
      <c r="C258" s="8" t="str">
        <f aca="false">INDEX(Material_Master!$F$2:$F$1000,MATCH(A258,Material_Master!$A$2:$A$1000,0))</f>
        <v>Nos</v>
      </c>
      <c r="D258" s="30"/>
      <c r="E258" s="31"/>
      <c r="F258" s="31"/>
      <c r="G258" s="12"/>
    </row>
    <row r="259" customFormat="false" ht="15" hidden="false" customHeight="false" outlineLevel="0" collapsed="false">
      <c r="A259" s="6" t="s">
        <v>2095</v>
      </c>
      <c r="B259" s="8" t="str">
        <f aca="false">INDEX(Material_Master!$D$2:$D$1000,MATCH(A259,Material_Master!$A$2:$A$1000,0))</f>
        <v>Ceiling fans 56in (energy-efficient DC/AC)</v>
      </c>
      <c r="C259" s="8" t="str">
        <f aca="false">INDEX(Material_Master!$F$2:$F$1000,MATCH(A259,Material_Master!$A$2:$A$1000,0))</f>
        <v>Nos</v>
      </c>
      <c r="D259" s="30"/>
      <c r="E259" s="31"/>
      <c r="F259" s="31"/>
      <c r="G259" s="12"/>
    </row>
    <row r="260" customFormat="false" ht="15" hidden="false" customHeight="false" outlineLevel="0" collapsed="false">
      <c r="A260" s="6" t="s">
        <v>2102</v>
      </c>
      <c r="B260" s="8" t="str">
        <f aca="false">INDEX(Material_Master!$D$2:$D$1000,MATCH(A260,Material_Master!$A$2:$A$1000,0))</f>
        <v>Fan hook box / MS hook cast in slab</v>
      </c>
      <c r="C260" s="8" t="str">
        <f aca="false">INDEX(Material_Master!$F$2:$F$1000,MATCH(A260,Material_Master!$A$2:$A$1000,0))</f>
        <v>Nos</v>
      </c>
      <c r="D260" s="30"/>
      <c r="E260" s="31"/>
      <c r="F260" s="31"/>
      <c r="G260" s="12"/>
    </row>
    <row r="261" customFormat="false" ht="15" hidden="false" customHeight="false" outlineLevel="0" collapsed="false">
      <c r="A261" s="6" t="s">
        <v>2109</v>
      </c>
      <c r="B261" s="8" t="str">
        <f aca="false">INDEX(Material_Master!$D$2:$D$1000,MATCH(A261,Material_Master!$A$2:$A$1000,0))</f>
        <v>Meter box / KWH meter enclosure (IESCO spec)</v>
      </c>
      <c r="C261" s="8" t="str">
        <f aca="false">INDEX(Material_Master!$F$2:$F$1000,MATCH(A261,Material_Master!$A$2:$A$1000,0))</f>
        <v>Nos</v>
      </c>
      <c r="D261" s="30"/>
      <c r="E261" s="31"/>
      <c r="F261" s="31"/>
      <c r="G261" s="12"/>
    </row>
    <row r="262" customFormat="false" ht="22.35" hidden="false" customHeight="false" outlineLevel="0" collapsed="false">
      <c r="A262" s="6" t="s">
        <v>2117</v>
      </c>
      <c r="B262" s="8" t="str">
        <f aca="false">INDEX(Material_Master!$D$2:$D$1000,MATCH(A262,Material_Master!$A$2:$A$1000,0))</f>
        <v>Electrical consumables (PVC tape, lugs, glands, ferrules, cable ties)</v>
      </c>
      <c r="C262" s="8" t="str">
        <f aca="false">INDEX(Material_Master!$F$2:$F$1000,MATCH(A262,Material_Master!$A$2:$A$1000,0))</f>
        <v>LS</v>
      </c>
      <c r="D262" s="30"/>
      <c r="E262" s="31"/>
      <c r="F262" s="31"/>
      <c r="G262" s="12"/>
    </row>
    <row r="263" customFormat="false" ht="22.35" hidden="false" customHeight="false" outlineLevel="0" collapsed="false">
      <c r="A263" s="6" t="s">
        <v>2123</v>
      </c>
      <c r="B263" s="8" t="str">
        <f aca="false">INDEX(Material_Master!$D$2:$D$1000,MATCH(A263,Material_Master!$A$2:$A$1000,0))</f>
        <v>Lightning protection (air terminal + down conductor) - optional</v>
      </c>
      <c r="C263" s="8" t="str">
        <f aca="false">INDEX(Material_Master!$F$2:$F$1000,MATCH(A263,Material_Master!$A$2:$A$1000,0))</f>
        <v>LS</v>
      </c>
      <c r="D263" s="30"/>
      <c r="E263" s="31"/>
      <c r="F263" s="31"/>
      <c r="G263" s="12"/>
    </row>
    <row r="264" customFormat="false" ht="15" hidden="false" customHeight="false" outlineLevel="0" collapsed="false">
      <c r="A264" s="6" t="s">
        <v>2130</v>
      </c>
      <c r="B264" s="8" t="str">
        <f aca="false">INDEX(Material_Master!$D$2:$D$1000,MATCH(A264,Material_Master!$A$2:$A$1000,0))</f>
        <v>Split AC units 1-2 ton (inverter) - owner supply typically</v>
      </c>
      <c r="C264" s="8" t="str">
        <f aca="false">INDEX(Material_Master!$F$2:$F$1000,MATCH(A264,Material_Master!$A$2:$A$1000,0))</f>
        <v>Nos</v>
      </c>
      <c r="D264" s="30"/>
      <c r="E264" s="31"/>
      <c r="F264" s="31"/>
      <c r="G264" s="12"/>
    </row>
    <row r="265" customFormat="false" ht="22.35" hidden="false" customHeight="false" outlineLevel="0" collapsed="false">
      <c r="A265" s="6" t="s">
        <v>2140</v>
      </c>
      <c r="B265" s="8" t="str">
        <f aca="false">INDEX(Material_Master!$D$2:$D$1000,MATCH(A265,Material_Master!$A$2:$A$1000,0))</f>
        <v>Copper refrigerant pipe pair 1/4in + 1/2in (or 3/8+5/8 for 2 ton)</v>
      </c>
      <c r="C265" s="8" t="str">
        <f aca="false">INDEX(Material_Master!$F$2:$F$1000,MATCH(A265,Material_Master!$A$2:$A$1000,0))</f>
        <v>rft</v>
      </c>
      <c r="D265" s="30"/>
      <c r="E265" s="31"/>
      <c r="F265" s="31"/>
      <c r="G265" s="12"/>
    </row>
    <row r="266" customFormat="false" ht="15" hidden="false" customHeight="false" outlineLevel="0" collapsed="false">
      <c r="A266" s="6" t="s">
        <v>2150</v>
      </c>
      <c r="B266" s="8" t="str">
        <f aca="false">INDEX(Material_Master!$D$2:$D$1000,MATCH(A266,Material_Master!$A$2:$A$1000,0))</f>
        <v>Closed-cell rubber insulation (Armaflex type) for Cu pipes</v>
      </c>
      <c r="C266" s="8" t="str">
        <f aca="false">INDEX(Material_Master!$F$2:$F$1000,MATCH(A266,Material_Master!$A$2:$A$1000,0))</f>
        <v>rft</v>
      </c>
      <c r="D266" s="30"/>
      <c r="E266" s="31"/>
      <c r="F266" s="31"/>
      <c r="G266" s="12"/>
    </row>
    <row r="267" customFormat="false" ht="15" hidden="false" customHeight="false" outlineLevel="0" collapsed="false">
      <c r="A267" s="6" t="s">
        <v>2155</v>
      </c>
      <c r="B267" s="8" t="str">
        <f aca="false">INDEX(Material_Master!$D$2:$D$1000,MATCH(A267,Material_Master!$A$2:$A$1000,0))</f>
        <v>AC interconnecting cable 4-core 1.5 mm2</v>
      </c>
      <c r="C267" s="8" t="str">
        <f aca="false">INDEX(Material_Master!$F$2:$F$1000,MATCH(A267,Material_Master!$A$2:$A$1000,0))</f>
        <v>m</v>
      </c>
      <c r="D267" s="30"/>
      <c r="E267" s="31"/>
      <c r="F267" s="31"/>
      <c r="G267" s="12"/>
    </row>
    <row r="268" customFormat="false" ht="15" hidden="false" customHeight="false" outlineLevel="0" collapsed="false">
      <c r="A268" s="6" t="s">
        <v>2158</v>
      </c>
      <c r="B268" s="8" t="str">
        <f aca="false">INDEX(Material_Master!$D$2:$D$1000,MATCH(A268,Material_Master!$A$2:$A$1000,0))</f>
        <v>Condensate drain pipe (uPVC 3/4-1in)</v>
      </c>
      <c r="C268" s="8" t="str">
        <f aca="false">INDEX(Material_Master!$F$2:$F$1000,MATCH(A268,Material_Master!$A$2:$A$1000,0))</f>
        <v>rft</v>
      </c>
      <c r="D268" s="30"/>
      <c r="E268" s="31"/>
      <c r="F268" s="31"/>
      <c r="G268" s="12"/>
    </row>
    <row r="269" customFormat="false" ht="15" hidden="false" customHeight="false" outlineLevel="0" collapsed="false">
      <c r="A269" s="6" t="s">
        <v>2161</v>
      </c>
      <c r="B269" s="8" t="str">
        <f aca="false">INDEX(Material_Master!$D$2:$D$1000,MATCH(A269,Material_Master!$A$2:$A$1000,0))</f>
        <v>Outdoor unit MS bracket / stand (galvanised)</v>
      </c>
      <c r="C269" s="8" t="str">
        <f aca="false">INDEX(Material_Master!$F$2:$F$1000,MATCH(A269,Material_Master!$A$2:$A$1000,0))</f>
        <v>Nos</v>
      </c>
      <c r="D269" s="30"/>
      <c r="E269" s="31"/>
      <c r="F269" s="31"/>
      <c r="G269" s="12"/>
    </row>
    <row r="270" customFormat="false" ht="15" hidden="false" customHeight="false" outlineLevel="0" collapsed="false">
      <c r="A270" s="6" t="s">
        <v>2165</v>
      </c>
      <c r="B270" s="8" t="str">
        <f aca="false">INDEX(Material_Master!$D$2:$D$1000,MATCH(A270,Material_Master!$A$2:$A$1000,0))</f>
        <v>Wall sleeve for AC piping (uPVC 3in)</v>
      </c>
      <c r="C270" s="8" t="str">
        <f aca="false">INDEX(Material_Master!$F$2:$F$1000,MATCH(A270,Material_Master!$A$2:$A$1000,0))</f>
        <v>Nos</v>
      </c>
      <c r="D270" s="30"/>
      <c r="E270" s="31"/>
      <c r="F270" s="31"/>
      <c r="G270" s="12"/>
    </row>
    <row r="271" customFormat="false" ht="15" hidden="false" customHeight="false" outlineLevel="0" collapsed="false">
      <c r="A271" s="6" t="s">
        <v>2170</v>
      </c>
      <c r="B271" s="8" t="str">
        <f aca="false">INDEX(Material_Master!$D$2:$D$1000,MATCH(A271,Material_Master!$A$2:$A$1000,0))</f>
        <v>Exhaust fan 8-12in with louvre/shutter</v>
      </c>
      <c r="C271" s="8" t="str">
        <f aca="false">INDEX(Material_Master!$F$2:$F$1000,MATCH(A271,Material_Master!$A$2:$A$1000,0))</f>
        <v>Nos</v>
      </c>
      <c r="D271" s="30"/>
      <c r="E271" s="31"/>
      <c r="F271" s="31"/>
      <c r="G271" s="12"/>
    </row>
    <row r="272" customFormat="false" ht="15" hidden="false" customHeight="false" outlineLevel="0" collapsed="false">
      <c r="A272" s="6" t="s">
        <v>2178</v>
      </c>
      <c r="B272" s="8" t="str">
        <f aca="false">INDEX(Material_Master!$D$2:$D$1000,MATCH(A272,Material_Master!$A$2:$A$1000,0))</f>
        <v>Kitchen hood duct (aluminium flexible/GI 6in) + wall cowl</v>
      </c>
      <c r="C272" s="8" t="str">
        <f aca="false">INDEX(Material_Master!$F$2:$F$1000,MATCH(A272,Material_Master!$A$2:$A$1000,0))</f>
        <v>rft</v>
      </c>
      <c r="D272" s="30"/>
      <c r="E272" s="31"/>
      <c r="F272" s="31"/>
      <c r="G272" s="12"/>
    </row>
    <row r="273" customFormat="false" ht="15" hidden="false" customHeight="false" outlineLevel="0" collapsed="false">
      <c r="A273" s="6" t="s">
        <v>2184</v>
      </c>
      <c r="B273" s="8" t="str">
        <f aca="false">INDEX(Material_Master!$D$2:$D$1000,MATCH(A273,Material_Master!$A$2:$A$1000,0))</f>
        <v>Exhaust fan opening frame / louvre (aluminium)</v>
      </c>
      <c r="C273" s="8" t="str">
        <f aca="false">INDEX(Material_Master!$F$2:$F$1000,MATCH(A273,Material_Master!$A$2:$A$1000,0))</f>
        <v>Nos</v>
      </c>
      <c r="D273" s="30"/>
      <c r="E273" s="31"/>
      <c r="F273" s="31"/>
      <c r="G273" s="12"/>
    </row>
    <row r="274" customFormat="false" ht="15" hidden="false" customHeight="false" outlineLevel="0" collapsed="false">
      <c r="A274" s="6" t="s">
        <v>2188</v>
      </c>
      <c r="B274" s="8" t="str">
        <f aca="false">INDEX(Material_Master!$D$2:$D$1000,MATCH(A274,Material_Master!$A$2:$A$1000,0))</f>
        <v>Ducted/VRF provision: GI duct, grilles (side/bottom throw)</v>
      </c>
      <c r="C274" s="8" t="str">
        <f aca="false">INDEX(Material_Master!$F$2:$F$1000,MATCH(A274,Material_Master!$A$2:$A$1000,0))</f>
        <v>sft</v>
      </c>
      <c r="D274" s="30"/>
      <c r="E274" s="31"/>
      <c r="F274" s="31"/>
      <c r="G274" s="12"/>
    </row>
    <row r="275" customFormat="false" ht="22.35" hidden="false" customHeight="false" outlineLevel="0" collapsed="false">
      <c r="A275" s="6" t="s">
        <v>2197</v>
      </c>
      <c r="B275" s="8" t="str">
        <f aca="false">INDEX(Material_Master!$D$2:$D$1000,MATCH(A275,Material_Master!$A$2:$A$1000,0))</f>
        <v>Roof thermal insulation (XPS/EPS board 1-2in) - see WPF roof system</v>
      </c>
      <c r="C275" s="8" t="str">
        <f aca="false">INDEX(Material_Master!$F$2:$F$1000,MATCH(A275,Material_Master!$A$2:$A$1000,0))</f>
        <v>sft</v>
      </c>
      <c r="D275" s="30"/>
      <c r="E275" s="31"/>
      <c r="F275" s="31"/>
      <c r="G275" s="12"/>
    </row>
    <row r="276" customFormat="false" ht="15" hidden="false" customHeight="false" outlineLevel="0" collapsed="false">
      <c r="A276" s="6" t="s">
        <v>2204</v>
      </c>
      <c r="B276" s="8" t="str">
        <f aca="false">INDEX(Material_Master!$D$2:$D$1000,MATCH(A276,Material_Master!$A$2:$A$1000,0))</f>
        <v>Gas heater points / room heater provisions</v>
      </c>
      <c r="C276" s="8" t="str">
        <f aca="false">INDEX(Material_Master!$F$2:$F$1000,MATCH(A276,Material_Master!$A$2:$A$1000,0))</f>
        <v>Nos</v>
      </c>
      <c r="D276" s="30"/>
      <c r="E276" s="31"/>
      <c r="F276" s="31"/>
      <c r="G276" s="12"/>
    </row>
    <row r="277" customFormat="false" ht="22.35" hidden="false" customHeight="false" outlineLevel="0" collapsed="false">
      <c r="A277" s="6" t="s">
        <v>2210</v>
      </c>
      <c r="B277" s="8" t="str">
        <f aca="false">INDEX(Material_Master!$D$2:$D$1000,MATCH(A277,Material_Master!$A$2:$A$1000,0))</f>
        <v>Solar PV provision: DC conduit roof-&gt;inverter, earthing, mounting anchor points</v>
      </c>
      <c r="C277" s="8" t="str">
        <f aca="false">INDEX(Material_Master!$F$2:$F$1000,MATCH(A277,Material_Master!$A$2:$A$1000,0))</f>
        <v>LS</v>
      </c>
      <c r="D277" s="30"/>
      <c r="E277" s="31"/>
      <c r="F277" s="31"/>
      <c r="G277" s="12"/>
    </row>
    <row r="278" customFormat="false" ht="15" hidden="false" customHeight="false" outlineLevel="0" collapsed="false">
      <c r="A278" s="6" t="s">
        <v>2220</v>
      </c>
      <c r="B278" s="8" t="str">
        <f aca="false">INDEX(Material_Master!$D$2:$D$1000,MATCH(A278,Material_Master!$A$2:$A$1000,0))</f>
        <v>PV modules, inverter, batteries, structure (if in scope)</v>
      </c>
      <c r="C278" s="8" t="str">
        <f aca="false">INDEX(Material_Master!$F$2:$F$1000,MATCH(A278,Material_Master!$A$2:$A$1000,0))</f>
        <v>kW</v>
      </c>
      <c r="D278" s="30"/>
      <c r="E278" s="31"/>
      <c r="F278" s="31"/>
      <c r="G278" s="12"/>
    </row>
    <row r="279" customFormat="false" ht="15" hidden="false" customHeight="false" outlineLevel="0" collapsed="false">
      <c r="A279" s="6" t="s">
        <v>2228</v>
      </c>
      <c r="B279" s="8" t="str">
        <f aca="false">INDEX(Material_Master!$D$2:$D$1000,MATCH(A279,Material_Master!$A$2:$A$1000,0))</f>
        <v>UPS/inverter point + battery space ventilation</v>
      </c>
      <c r="C279" s="8" t="str">
        <f aca="false">INDEX(Material_Master!$F$2:$F$1000,MATCH(A279,Material_Master!$A$2:$A$1000,0))</f>
        <v>LS</v>
      </c>
      <c r="D279" s="30"/>
      <c r="E279" s="31"/>
      <c r="F279" s="31"/>
      <c r="G279" s="12"/>
    </row>
    <row r="280" customFormat="false" ht="22.35" hidden="false" customHeight="false" outlineLevel="0" collapsed="false">
      <c r="A280" s="6" t="s">
        <v>2231</v>
      </c>
      <c r="B280" s="8" t="str">
        <f aca="false">INDEX(Material_Master!$D$2:$D$1000,MATCH(A280,Material_Master!$A$2:$A$1000,0))</f>
        <v>Paving: concrete interlocking pavers / exterior tiles / stamped concrete</v>
      </c>
      <c r="C280" s="8" t="str">
        <f aca="false">INDEX(Material_Master!$F$2:$F$1000,MATCH(A280,Material_Master!$A$2:$A$1000,0))</f>
        <v>sft</v>
      </c>
      <c r="D280" s="30"/>
      <c r="E280" s="31"/>
      <c r="F280" s="31"/>
      <c r="G280" s="12"/>
    </row>
    <row r="281" customFormat="false" ht="15" hidden="false" customHeight="false" outlineLevel="0" collapsed="false">
      <c r="A281" s="6" t="s">
        <v>2241</v>
      </c>
      <c r="B281" s="8" t="str">
        <f aca="false">INDEX(Material_Master!$D$2:$D$1000,MATCH(A281,Material_Master!$A$2:$A$1000,0))</f>
        <v>Kerb stones / edging</v>
      </c>
      <c r="C281" s="8" t="str">
        <f aca="false">INDEX(Material_Master!$F$2:$F$1000,MATCH(A281,Material_Master!$A$2:$A$1000,0))</f>
        <v>rft</v>
      </c>
      <c r="D281" s="30"/>
      <c r="E281" s="31"/>
      <c r="F281" s="31"/>
      <c r="G281" s="12"/>
    </row>
    <row r="282" customFormat="false" ht="15" hidden="false" customHeight="false" outlineLevel="0" collapsed="false">
      <c r="A282" s="6" t="s">
        <v>2247</v>
      </c>
      <c r="B282" s="8" t="str">
        <f aca="false">INDEX(Material_Master!$D$2:$D$1000,MATCH(A282,Material_Master!$A$2:$A$1000,0))</f>
        <v>Sand bedding for pavers (2in compacted)</v>
      </c>
      <c r="C282" s="8" t="str">
        <f aca="false">INDEX(Material_Master!$F$2:$F$1000,MATCH(A282,Material_Master!$A$2:$A$1000,0))</f>
        <v>cft</v>
      </c>
      <c r="D282" s="30"/>
      <c r="E282" s="31"/>
      <c r="F282" s="31"/>
      <c r="G282" s="12"/>
    </row>
    <row r="283" customFormat="false" ht="15" hidden="false" customHeight="false" outlineLevel="0" collapsed="false">
      <c r="A283" s="6" t="s">
        <v>2252</v>
      </c>
      <c r="B283" s="8" t="str">
        <f aca="false">INDEX(Material_Master!$D$2:$D$1000,MATCH(A283,Material_Master!$A$2:$A$1000,0))</f>
        <v>Garden soil / sweet soil for planters &amp; lawn</v>
      </c>
      <c r="C283" s="8" t="str">
        <f aca="false">INDEX(Material_Master!$F$2:$F$1000,MATCH(A283,Material_Master!$A$2:$A$1000,0))</f>
        <v>cft</v>
      </c>
      <c r="D283" s="30"/>
      <c r="E283" s="31"/>
      <c r="F283" s="31"/>
      <c r="G283" s="12"/>
    </row>
    <row r="284" customFormat="false" ht="15" hidden="false" customHeight="false" outlineLevel="0" collapsed="false">
      <c r="A284" s="6" t="s">
        <v>2261</v>
      </c>
      <c r="B284" s="8" t="str">
        <f aca="false">INDEX(Material_Master!$D$2:$D$1000,MATCH(A284,Material_Master!$A$2:$A$1000,0))</f>
        <v>Grass (sod/seed) and plants</v>
      </c>
      <c r="C284" s="8" t="str">
        <f aca="false">INDEX(Material_Master!$F$2:$F$1000,MATCH(A284,Material_Master!$A$2:$A$1000,0))</f>
        <v>sft</v>
      </c>
      <c r="D284" s="30"/>
      <c r="E284" s="31"/>
      <c r="F284" s="31"/>
      <c r="G284" s="12"/>
    </row>
    <row r="285" customFormat="false" ht="22.35" hidden="false" customHeight="false" outlineLevel="0" collapsed="false">
      <c r="A285" s="6" t="s">
        <v>2266</v>
      </c>
      <c r="B285" s="8" t="str">
        <f aca="false">INDEX(Material_Master!$D$2:$D$1000,MATCH(A285,Material_Master!$A$2:$A$1000,0))</f>
        <v>Plinth protection apron (PCC 3in on brick soling) around building</v>
      </c>
      <c r="C285" s="8" t="str">
        <f aca="false">INDEX(Material_Master!$F$2:$F$1000,MATCH(A285,Material_Master!$A$2:$A$1000,0))</f>
        <v>sft</v>
      </c>
      <c r="D285" s="30"/>
      <c r="E285" s="31"/>
      <c r="F285" s="31"/>
      <c r="G285" s="12"/>
    </row>
    <row r="286" customFormat="false" ht="22.35" hidden="false" customHeight="false" outlineLevel="0" collapsed="false">
      <c r="A286" s="6" t="s">
        <v>2275</v>
      </c>
      <c r="B286" s="8" t="str">
        <f aca="false">INDEX(Material_Master!$D$2:$D$1000,MATCH(A286,Material_Master!$A$2:$A$1000,0))</f>
        <v>Boundary wall (9in brick on strip foundation, coping) - materials via WI-EX-01</v>
      </c>
      <c r="C286" s="8" t="str">
        <f aca="false">INDEX(Material_Master!$F$2:$F$1000,MATCH(A286,Material_Master!$A$2:$A$1000,0))</f>
        <v>rft</v>
      </c>
      <c r="D286" s="30"/>
      <c r="E286" s="31"/>
      <c r="F286" s="31"/>
      <c r="G286" s="12"/>
    </row>
    <row r="287" customFormat="false" ht="22.35" hidden="false" customHeight="false" outlineLevel="0" collapsed="false">
      <c r="A287" s="6" t="s">
        <v>2285</v>
      </c>
      <c r="B287" s="8" t="str">
        <f aca="false">INDEX(Material_Master!$D$2:$D$1000,MATCH(A287,Material_Master!$A$2:$A$1000,0))</f>
        <v>Main gate (MS/wrought iron sliding or swing) with lock &amp; paint</v>
      </c>
      <c r="C287" s="8" t="str">
        <f aca="false">INDEX(Material_Master!$F$2:$F$1000,MATCH(A287,Material_Master!$A$2:$A$1000,0))</f>
        <v>sft</v>
      </c>
      <c r="D287" s="30"/>
      <c r="E287" s="31"/>
      <c r="F287" s="31"/>
      <c r="G287" s="12"/>
    </row>
    <row r="288" customFormat="false" ht="15" hidden="false" customHeight="false" outlineLevel="0" collapsed="false">
      <c r="A288" s="6" t="s">
        <v>2294</v>
      </c>
      <c r="B288" s="8" t="str">
        <f aca="false">INDEX(Material_Master!$D$2:$D$1000,MATCH(A288,Material_Master!$A$2:$A$1000,0))</f>
        <v>House name plate / number plate</v>
      </c>
      <c r="C288" s="8" t="str">
        <f aca="false">INDEX(Material_Master!$F$2:$F$1000,MATCH(A288,Material_Master!$A$2:$A$1000,0))</f>
        <v>Nos</v>
      </c>
      <c r="D288" s="30"/>
      <c r="E288" s="31"/>
      <c r="F288" s="31"/>
      <c r="G288" s="12"/>
    </row>
    <row r="289" customFormat="false" ht="22.35" hidden="false" customHeight="false" outlineLevel="0" collapsed="false">
      <c r="A289" s="6" t="s">
        <v>2299</v>
      </c>
      <c r="B289" s="8" t="str">
        <f aca="false">INDEX(Material_Master!$D$2:$D$1000,MATCH(A289,Material_Master!$A$2:$A$1000,0))</f>
        <v>Front elevation cladding (stone/tile/brick slips/HPL/wood-plastic)</v>
      </c>
      <c r="C289" s="8" t="str">
        <f aca="false">INDEX(Material_Master!$F$2:$F$1000,MATCH(A289,Material_Master!$A$2:$A$1000,0))</f>
        <v>sft</v>
      </c>
      <c r="D289" s="30"/>
      <c r="E289" s="31"/>
      <c r="F289" s="31"/>
      <c r="G289" s="12"/>
    </row>
    <row r="290" customFormat="false" ht="15" hidden="false" customHeight="false" outlineLevel="0" collapsed="false">
      <c r="A290" s="6" t="s">
        <v>2308</v>
      </c>
      <c r="B290" s="8" t="str">
        <f aca="false">INDEX(Material_Master!$D$2:$D$1000,MATCH(A290,Material_Master!$A$2:$A$1000,0))</f>
        <v>Terrace/balcony/stair railing (SS/MS/glass)</v>
      </c>
      <c r="C290" s="8" t="str">
        <f aca="false">INDEX(Material_Master!$F$2:$F$1000,MATCH(A290,Material_Master!$A$2:$A$1000,0))</f>
        <v>rft</v>
      </c>
      <c r="D290" s="30"/>
      <c r="E290" s="31"/>
      <c r="F290" s="31"/>
      <c r="G290" s="12"/>
    </row>
    <row r="291" customFormat="false" ht="15" hidden="false" customHeight="false" outlineLevel="0" collapsed="false">
      <c r="A291" s="6" t="s">
        <v>2316</v>
      </c>
      <c r="B291" s="8" t="str">
        <f aca="false">INDEX(Material_Master!$D$2:$D$1000,MATCH(A291,Material_Master!$A$2:$A$1000,0))</f>
        <v>Porch shade / pergola (optional)</v>
      </c>
      <c r="C291" s="8" t="str">
        <f aca="false">INDEX(Material_Master!$F$2:$F$1000,MATCH(A291,Material_Master!$A$2:$A$1000,0))</f>
        <v>sft</v>
      </c>
      <c r="D291" s="30"/>
      <c r="E291" s="31"/>
      <c r="F291" s="31"/>
      <c r="G291" s="12"/>
    </row>
    <row r="292" customFormat="false" ht="15" hidden="false" customHeight="false" outlineLevel="0" collapsed="false">
      <c r="A292" s="6" t="s">
        <v>2322</v>
      </c>
      <c r="B292" s="8" t="str">
        <f aca="false">INDEX(Material_Master!$D$2:$D$1000,MATCH(A292,Material_Master!$A$2:$A$1000,0))</f>
        <v>Blank casing pipe uPVC/PVC 6-8in</v>
      </c>
      <c r="C292" s="8" t="str">
        <f aca="false">INDEX(Material_Master!$F$2:$F$1000,MATCH(A292,Material_Master!$A$2:$A$1000,0))</f>
        <v>rft</v>
      </c>
      <c r="D292" s="30"/>
      <c r="E292" s="31"/>
      <c r="F292" s="31"/>
      <c r="G292" s="12"/>
    </row>
    <row r="293" customFormat="false" ht="15" hidden="false" customHeight="false" outlineLevel="0" collapsed="false">
      <c r="A293" s="6" t="s">
        <v>2332</v>
      </c>
      <c r="B293" s="8" t="str">
        <f aca="false">INDEX(Material_Master!$D$2:$D$1000,MATCH(A293,Material_Master!$A$2:$A$1000,0))</f>
        <v>Filter media (graded gravel, coarse sand, charcoal)</v>
      </c>
      <c r="C293" s="8" t="str">
        <f aca="false">INDEX(Material_Master!$F$2:$F$1000,MATCH(A293,Material_Master!$A$2:$A$1000,0))</f>
        <v>cft</v>
      </c>
      <c r="D293" s="30"/>
      <c r="E293" s="31"/>
      <c r="F293" s="31"/>
      <c r="G293" s="12"/>
    </row>
    <row r="294" customFormat="false" ht="15" hidden="false" customHeight="false" outlineLevel="0" collapsed="false">
      <c r="A294" s="6" t="s">
        <v>2337</v>
      </c>
      <c r="B294" s="8" t="str">
        <f aca="false">INDEX(Material_Master!$D$2:$D$1000,MATCH(A294,Material_Master!$A$2:$A$1000,0))</f>
        <v>Silt/desilting chamber (brick/RCC) with cover</v>
      </c>
      <c r="C294" s="8" t="str">
        <f aca="false">INDEX(Material_Master!$F$2:$F$1000,MATCH(A294,Material_Master!$A$2:$A$1000,0))</f>
        <v>Nos</v>
      </c>
      <c r="D294" s="30"/>
      <c r="E294" s="31"/>
      <c r="F294" s="31"/>
      <c r="G294" s="12"/>
    </row>
    <row r="295" customFormat="false" ht="15" hidden="false" customHeight="false" outlineLevel="0" collapsed="false">
      <c r="A295" s="6" t="s">
        <v>2341</v>
      </c>
      <c r="B295" s="8" t="str">
        <f aca="false">INDEX(Material_Master!$D$2:$D$1000,MATCH(A295,Material_Master!$A$2:$A$1000,0))</f>
        <v>First-flush diverter</v>
      </c>
      <c r="C295" s="8" t="str">
        <f aca="false">INDEX(Material_Master!$F$2:$F$1000,MATCH(A295,Material_Master!$A$2:$A$1000,0))</f>
        <v>Nos</v>
      </c>
      <c r="D295" s="30"/>
      <c r="E295" s="31"/>
      <c r="F295" s="31"/>
      <c r="G295" s="12"/>
    </row>
    <row r="296" customFormat="false" ht="15" hidden="false" customHeight="false" outlineLevel="0" collapsed="false">
      <c r="A296" s="6" t="s">
        <v>2344</v>
      </c>
      <c r="B296" s="8" t="str">
        <f aca="false">INDEX(Material_Master!$D$2:$D$1000,MATCH(A296,Material_Master!$A$2:$A$1000,0))</f>
        <v>Boring charges (drilling) for recharge well</v>
      </c>
      <c r="C296" s="8" t="str">
        <f aca="false">INDEX(Material_Master!$F$2:$F$1000,MATCH(A296,Material_Master!$A$2:$A$1000,0))</f>
        <v>rft</v>
      </c>
      <c r="D296" s="30"/>
      <c r="E296" s="31"/>
      <c r="F296" s="31"/>
      <c r="G296" s="12"/>
    </row>
    <row r="297" customFormat="false" ht="15" hidden="false" customHeight="false" outlineLevel="0" collapsed="false">
      <c r="A297" s="6" t="s">
        <v>2351</v>
      </c>
      <c r="B297" s="8" t="str">
        <f aca="false">INDEX(Material_Master!$D$2:$D$1000,MATCH(A297,Material_Master!$A$2:$A$1000,0))</f>
        <v>Collection pipes roof RWP -&gt; chamber (uPVC 4in)</v>
      </c>
      <c r="C297" s="8" t="str">
        <f aca="false">INDEX(Material_Master!$F$2:$F$1000,MATCH(A297,Material_Master!$A$2:$A$1000,0))</f>
        <v>rft</v>
      </c>
      <c r="D297" s="30"/>
      <c r="E297" s="31"/>
      <c r="F297" s="31"/>
      <c r="G297" s="12"/>
    </row>
    <row r="298" customFormat="false" ht="15" hidden="false" customHeight="false" outlineLevel="0" collapsed="false">
      <c r="A298" s="6" t="s">
        <v>2356</v>
      </c>
      <c r="B298" s="8" t="str">
        <f aca="false">INDEX(Material_Master!$D$2:$D$1000,MATCH(A298,Material_Master!$A$2:$A$1000,0))</f>
        <v>Slotted/screen pipe uPVC 6-8in</v>
      </c>
      <c r="C298" s="8" t="str">
        <f aca="false">INDEX(Material_Master!$F$2:$F$1000,MATCH(A298,Material_Master!$A$2:$A$1000,0))</f>
        <v>rft</v>
      </c>
      <c r="D298" s="30"/>
      <c r="E298" s="31"/>
      <c r="F298" s="31"/>
      <c r="G298" s="12"/>
    </row>
    <row r="299" customFormat="false" ht="15" hidden="false" customHeight="false" outlineLevel="0" collapsed="false">
      <c r="A299" s="6" t="s">
        <v>2361</v>
      </c>
      <c r="B299" s="8" t="str">
        <f aca="false">INDEX(Material_Master!$D$2:$D$1000,MATCH(A299,Material_Master!$A$2:$A$1000,0))</f>
        <v>Smoke/heat detectors (battery or mains)</v>
      </c>
      <c r="C299" s="8" t="str">
        <f aca="false">INDEX(Material_Master!$F$2:$F$1000,MATCH(A299,Material_Master!$A$2:$A$1000,0))</f>
        <v>Nos</v>
      </c>
      <c r="D299" s="30"/>
      <c r="E299" s="31"/>
      <c r="F299" s="31"/>
      <c r="G299" s="12"/>
    </row>
    <row r="300" customFormat="false" ht="15" hidden="false" customHeight="false" outlineLevel="0" collapsed="false">
      <c r="A300" s="6" t="s">
        <v>2369</v>
      </c>
      <c r="B300" s="8" t="str">
        <f aca="false">INDEX(Material_Master!$D$2:$D$1000,MATCH(A300,Material_Master!$A$2:$A$1000,0))</f>
        <v>Portable fire extinguisher (ABC 6 kg / CO2)</v>
      </c>
      <c r="C300" s="8" t="str">
        <f aca="false">INDEX(Material_Master!$F$2:$F$1000,MATCH(A300,Material_Master!$A$2:$A$1000,0))</f>
        <v>Nos</v>
      </c>
      <c r="D300" s="30"/>
      <c r="E300" s="31"/>
      <c r="F300" s="31"/>
      <c r="G300" s="12"/>
    </row>
    <row r="301" customFormat="false" ht="15" hidden="false" customHeight="false" outlineLevel="0" collapsed="false">
      <c r="A301" s="6" t="s">
        <v>2376</v>
      </c>
      <c r="B301" s="8" t="str">
        <f aca="false">INDEX(Material_Master!$D$2:$D$1000,MATCH(A301,Material_Master!$A$2:$A$1000,0))</f>
        <v>Gas leak detector (kitchen)</v>
      </c>
      <c r="C301" s="8" t="str">
        <f aca="false">INDEX(Material_Master!$F$2:$F$1000,MATCH(A301,Material_Master!$A$2:$A$1000,0))</f>
        <v>Nos</v>
      </c>
      <c r="D301" s="30"/>
      <c r="E301" s="31"/>
      <c r="F301" s="31"/>
      <c r="G301" s="12"/>
    </row>
    <row r="302" customFormat="false" ht="15" hidden="false" customHeight="false" outlineLevel="0" collapsed="false">
      <c r="A302" s="6" t="s">
        <v>2380</v>
      </c>
      <c r="B302" s="8" t="str">
        <f aca="false">INDEX(Material_Master!$D$2:$D$1000,MATCH(A302,Material_Master!$A$2:$A$1000,0))</f>
        <v>Construction water (tanker/bore) for mixing &amp; curing</v>
      </c>
      <c r="C302" s="8" t="str">
        <f aca="false">INDEX(Material_Master!$F$2:$F$1000,MATCH(A302,Material_Master!$A$2:$A$1000,0))</f>
        <v>gal</v>
      </c>
      <c r="D302" s="30"/>
      <c r="E302" s="31"/>
      <c r="F302" s="31"/>
      <c r="G302" s="12"/>
    </row>
    <row r="303" customFormat="false" ht="15" hidden="false" customHeight="false" outlineLevel="0" collapsed="false">
      <c r="A303" s="6" t="s">
        <v>2391</v>
      </c>
      <c r="B303" s="8" t="str">
        <f aca="false">INDEX(Material_Master!$D$2:$D$1000,MATCH(A303,Material_Master!$A$2:$A$1000,0))</f>
        <v>Curing compound / hessian cloth</v>
      </c>
      <c r="C303" s="8" t="str">
        <f aca="false">INDEX(Material_Master!$F$2:$F$1000,MATCH(A303,Material_Master!$A$2:$A$1000,0))</f>
        <v>sft</v>
      </c>
      <c r="D303" s="30"/>
      <c r="E303" s="31"/>
      <c r="F303" s="31"/>
      <c r="G303" s="12"/>
    </row>
    <row r="304" customFormat="false" ht="15" hidden="false" customHeight="false" outlineLevel="0" collapsed="false">
      <c r="A304" s="6" t="s">
        <v>2397</v>
      </c>
      <c r="B304" s="8" t="str">
        <f aca="false">INDEX(Material_Master!$D$2:$D$1000,MATCH(A304,Material_Master!$A$2:$A$1000,0))</f>
        <v>Binding wire (see RBR) / nails / shuttering oil (see FRM)</v>
      </c>
      <c r="C304" s="8" t="str">
        <f aca="false">INDEX(Material_Master!$F$2:$F$1000,MATCH(A304,Material_Master!$A$2:$A$1000,0))</f>
        <v>LS</v>
      </c>
      <c r="D304" s="30"/>
      <c r="E304" s="31"/>
      <c r="F304" s="31"/>
      <c r="G304" s="12"/>
    </row>
    <row r="305" customFormat="false" ht="15" hidden="false" customHeight="false" outlineLevel="0" collapsed="false">
      <c r="A305" s="6" t="s">
        <v>2402</v>
      </c>
      <c r="B305" s="8" t="str">
        <f aca="false">INDEX(Material_Master!$D$2:$D$1000,MATCH(A305,Material_Master!$A$2:$A$1000,0))</f>
        <v>Anti-termite soil treatment (chemical)</v>
      </c>
      <c r="C305" s="8" t="str">
        <f aca="false">INDEX(Material_Master!$F$2:$F$1000,MATCH(A305,Material_Master!$A$2:$A$1000,0))</f>
        <v>sft</v>
      </c>
      <c r="D305" s="30"/>
      <c r="E305" s="31"/>
      <c r="F305" s="31"/>
      <c r="G305" s="12"/>
    </row>
    <row r="306" customFormat="false" ht="22.35" hidden="false" customHeight="false" outlineLevel="0" collapsed="false">
      <c r="A306" s="6" t="s">
        <v>2412</v>
      </c>
      <c r="B306" s="8" t="str">
        <f aca="false">INDEX(Material_Master!$D$2:$D$1000,MATCH(A306,Material_Master!$A$2:$A$1000,0))</f>
        <v>Temporary protection (floor covering sheets, corner guards)</v>
      </c>
      <c r="C306" s="8" t="str">
        <f aca="false">INDEX(Material_Master!$F$2:$F$1000,MATCH(A306,Material_Master!$A$2:$A$1000,0))</f>
        <v>sft</v>
      </c>
      <c r="D306" s="30"/>
      <c r="E306" s="31"/>
      <c r="F306" s="31"/>
      <c r="G306" s="12"/>
    </row>
    <row r="307" customFormat="false" ht="15" hidden="false" customHeight="false" outlineLevel="0" collapsed="false">
      <c r="A307" s="6" t="s">
        <v>2417</v>
      </c>
      <c r="B307" s="8" t="str">
        <f aca="false">INDEX(Material_Master!$D$2:$D$1000,MATCH(A307,Material_Master!$A$2:$A$1000,0))</f>
        <v>Final cleaning materials, acid wash</v>
      </c>
      <c r="C307" s="8" t="str">
        <f aca="false">INDEX(Material_Master!$F$2:$F$1000,MATCH(A307,Material_Master!$A$2:$A$1000,0))</f>
        <v>LS</v>
      </c>
      <c r="D307" s="30"/>
      <c r="E307" s="31"/>
      <c r="F307" s="31"/>
      <c r="G307" s="12"/>
    </row>
    <row r="308" customFormat="false" ht="22.35" hidden="false" customHeight="false" outlineLevel="0" collapsed="false">
      <c r="A308" s="6" t="s">
        <v>2421</v>
      </c>
      <c r="B308" s="8" t="str">
        <f aca="false">INDEX(Material_Master!$D$2:$D$1000,MATCH(A308,Material_Master!$A$2:$A$1000,0))</f>
        <v>Testing: cube tests, rebar tensile, pipe pressure tests (100 psig water / 20 psig gas), earth resistance</v>
      </c>
      <c r="C308" s="8" t="str">
        <f aca="false">INDEX(Material_Master!$F$2:$F$1000,MATCH(A308,Material_Master!$A$2:$A$1000,0))</f>
        <v>LS</v>
      </c>
      <c r="D308" s="30"/>
      <c r="E308" s="31"/>
      <c r="F308" s="31"/>
      <c r="G308" s="12"/>
    </row>
    <row r="309" customFormat="false" ht="22.35" hidden="false" customHeight="false" outlineLevel="0" collapsed="false">
      <c r="A309" s="6" t="s">
        <v>2429</v>
      </c>
      <c r="B309" s="8" t="str">
        <f aca="false">INDEX(Material_Master!$D$2:$D$1000,MATCH(A309,Material_Master!$A$2:$A$1000,0))</f>
        <v>CDA/RDA approvals, IESCO/SNGPL/WASA connections (non-material)</v>
      </c>
      <c r="C309" s="8" t="str">
        <f aca="false">INDEX(Material_Master!$F$2:$F$1000,MATCH(A309,Material_Master!$A$2:$A$1000,0))</f>
        <v>LS</v>
      </c>
      <c r="D309" s="30"/>
      <c r="E309" s="31"/>
      <c r="F309" s="31"/>
      <c r="G309" s="12"/>
    </row>
    <row r="310" customFormat="false" ht="15" hidden="false" customHeight="false" outlineLevel="0" collapsed="false">
      <c r="A310" s="6" t="s">
        <v>2434</v>
      </c>
      <c r="B310" s="8" t="str">
        <f aca="false">INDEX(Material_Master!$D$2:$D$1000,MATCH(A310,Material_Master!$A$2:$A$1000,0))</f>
        <v>Debris removal / malba disposal (trips)</v>
      </c>
      <c r="C310" s="8" t="str">
        <f aca="false">INDEX(Material_Master!$F$2:$F$1000,MATCH(A310,Material_Master!$A$2:$A$1000,0))</f>
        <v>trip</v>
      </c>
      <c r="D310" s="30"/>
      <c r="E310" s="31"/>
      <c r="F310" s="31"/>
      <c r="G310" s="12"/>
    </row>
  </sheetData>
  <autoFilter ref="A1:I3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20"/>
    <col collapsed="false" customWidth="true" hidden="false" outlineLevel="0" max="3" min="3" style="0" width="50"/>
  </cols>
  <sheetData>
    <row r="1" customFormat="false" ht="31.5" hidden="false" customHeight="true" outlineLevel="0" collapsed="false">
      <c r="A1" s="4" t="s">
        <v>1406</v>
      </c>
      <c r="B1" s="4" t="s">
        <v>4680</v>
      </c>
      <c r="C1" s="4" t="s">
        <v>4365</v>
      </c>
    </row>
    <row r="2" customFormat="false" ht="22.35" hidden="false" customHeight="false" outlineLevel="0" collapsed="false">
      <c r="A2" s="6" t="s">
        <v>4801</v>
      </c>
      <c r="B2" s="6" t="s">
        <v>4802</v>
      </c>
      <c r="C2" s="6" t="s">
        <v>4803</v>
      </c>
    </row>
    <row r="3" customFormat="false" ht="15" hidden="false" customHeight="false" outlineLevel="0" collapsed="false">
      <c r="A3" s="6" t="s">
        <v>4804</v>
      </c>
      <c r="B3" s="6" t="s">
        <v>4805</v>
      </c>
      <c r="C3" s="6" t="s">
        <v>4806</v>
      </c>
    </row>
    <row r="4" customFormat="false" ht="15" hidden="false" customHeight="false" outlineLevel="0" collapsed="false">
      <c r="A4" s="6" t="s">
        <v>4807</v>
      </c>
      <c r="B4" s="6" t="s">
        <v>4808</v>
      </c>
      <c r="C4" s="6" t="s">
        <v>4809</v>
      </c>
    </row>
    <row r="5" customFormat="false" ht="15" hidden="false" customHeight="false" outlineLevel="0" collapsed="false">
      <c r="A5" s="6" t="s">
        <v>4810</v>
      </c>
      <c r="B5" s="6" t="s">
        <v>3320</v>
      </c>
      <c r="C5" s="6" t="s">
        <v>4811</v>
      </c>
    </row>
    <row r="6" customFormat="false" ht="15" hidden="false" customHeight="false" outlineLevel="0" collapsed="false">
      <c r="A6" s="6" t="s">
        <v>4812</v>
      </c>
      <c r="B6" s="6" t="s">
        <v>4813</v>
      </c>
      <c r="C6" s="6" t="s">
        <v>4814</v>
      </c>
    </row>
    <row r="7" customFormat="false" ht="15" hidden="false" customHeight="false" outlineLevel="0" collapsed="false">
      <c r="A7" s="6" t="s">
        <v>4815</v>
      </c>
      <c r="B7" s="6" t="s">
        <v>99</v>
      </c>
      <c r="C7" s="6" t="s">
        <v>355</v>
      </c>
    </row>
    <row r="8" customFormat="false" ht="15" hidden="false" customHeight="false" outlineLevel="0" collapsed="false">
      <c r="A8" s="6" t="s">
        <v>4816</v>
      </c>
      <c r="B8" s="6" t="s">
        <v>4817</v>
      </c>
      <c r="C8" s="6" t="s">
        <v>4818</v>
      </c>
    </row>
    <row r="9" customFormat="false" ht="15" hidden="false" customHeight="false" outlineLevel="0" collapsed="false">
      <c r="A9" s="6" t="s">
        <v>4819</v>
      </c>
      <c r="B9" s="6" t="s">
        <v>4820</v>
      </c>
      <c r="C9" s="6" t="s">
        <v>4821</v>
      </c>
    </row>
    <row r="10" customFormat="false" ht="15" hidden="false" customHeight="false" outlineLevel="0" collapsed="false">
      <c r="A10" s="6" t="s">
        <v>4822</v>
      </c>
      <c r="B10" s="6" t="s">
        <v>4820</v>
      </c>
      <c r="C10" s="6" t="s">
        <v>4823</v>
      </c>
    </row>
    <row r="11" customFormat="false" ht="15" hidden="false" customHeight="false" outlineLevel="0" collapsed="false">
      <c r="A11" s="6" t="s">
        <v>4824</v>
      </c>
      <c r="B11" s="6" t="s">
        <v>4820</v>
      </c>
      <c r="C11" s="6" t="s">
        <v>4825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2026-09-23T17:24:17Z</dcterms:created>
  <dc:creator>openpyxl</dc:creator>
  <dc:description/>
  <dc:language>en-US</dc:language>
  <cp:lastModifiedBy/>
  <dcterms:modified xsi:type="dcterms:W3CDTF">2026-09-23T17:24:18Z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